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lfsystemita-my.sharepoint.com/personal/mirko_maddaluno_wolfsystem_it/Documents/Mirko e Selene/"/>
    </mc:Choice>
  </mc:AlternateContent>
  <xr:revisionPtr revIDLastSave="448" documentId="13_ncr:1_{14091ADD-00BF-4B8F-867F-96F413B13BCA}" xr6:coauthVersionLast="47" xr6:coauthVersionMax="47" xr10:uidLastSave="{2DE986F0-F283-43AF-941A-972664B2D36C}"/>
  <bookViews>
    <workbookView xWindow="-120" yWindow="-120" windowWidth="29040" windowHeight="15720" activeTab="3" xr2:uid="{C49BA0EE-F1EF-4145-A650-B4E0629A802F}"/>
  </bookViews>
  <sheets>
    <sheet name="Spese" sheetId="2" r:id="rId1"/>
    <sheet name="Spesa" sheetId="3" r:id="rId2"/>
    <sheet name="Bollette elettriche" sheetId="4" r:id="rId3"/>
    <sheet name="Klarna + Cofidis" sheetId="6" r:id="rId4"/>
    <sheet name="Libretto Postale" sheetId="7" r:id="rId5"/>
    <sheet name="Telepedaggio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6" l="1"/>
  <c r="G16" i="6"/>
  <c r="AT14" i="3"/>
  <c r="AT16" i="3"/>
  <c r="AT24" i="3"/>
  <c r="AT8" i="3"/>
  <c r="B25" i="6"/>
  <c r="N25" i="6" s="1"/>
  <c r="C61" i="6"/>
  <c r="M61" i="6" s="1"/>
  <c r="C59" i="6"/>
  <c r="M59" i="6" s="1"/>
  <c r="C57" i="6"/>
  <c r="L57" i="6" s="1"/>
  <c r="AP38" i="3"/>
  <c r="AT7" i="3"/>
  <c r="E11" i="8"/>
  <c r="E16" i="8" s="1"/>
  <c r="AN31" i="3"/>
  <c r="AN21" i="3"/>
  <c r="F18" i="2"/>
  <c r="E19" i="2"/>
  <c r="F13" i="2"/>
  <c r="E13" i="2"/>
  <c r="C13" i="2"/>
  <c r="K23" i="6"/>
  <c r="N23" i="6"/>
  <c r="AM12" i="3"/>
  <c r="AN16" i="3"/>
  <c r="AN14" i="3"/>
  <c r="AN10" i="3"/>
  <c r="B17" i="2"/>
  <c r="E17" i="2" s="1"/>
  <c r="C55" i="6"/>
  <c r="AN5" i="3"/>
  <c r="D16" i="8"/>
  <c r="F16" i="8"/>
  <c r="C16" i="8"/>
  <c r="K61" i="6" l="1"/>
  <c r="L61" i="6"/>
  <c r="K57" i="6"/>
  <c r="M57" i="6"/>
  <c r="M63" i="6" s="1"/>
  <c r="K59" i="6"/>
  <c r="L59" i="6"/>
  <c r="D5" i="8"/>
  <c r="D6" i="8"/>
  <c r="D7" i="8"/>
  <c r="D8" i="8"/>
  <c r="D9" i="8"/>
  <c r="D4" i="8"/>
  <c r="L63" i="6" l="1"/>
  <c r="K63" i="6"/>
  <c r="B18" i="7"/>
  <c r="B15" i="2"/>
  <c r="D30" i="4"/>
  <c r="D15" i="4"/>
  <c r="D28" i="4"/>
  <c r="F22" i="4"/>
  <c r="AJ38" i="3"/>
  <c r="AD38" i="3"/>
  <c r="AH22" i="3"/>
  <c r="AH23" i="3"/>
  <c r="L10" i="6"/>
  <c r="AH13" i="3"/>
  <c r="AH38" i="3"/>
  <c r="BY43" i="3" s="1"/>
  <c r="E21" i="2"/>
  <c r="AH5" i="3"/>
  <c r="X38" i="3"/>
  <c r="R38" i="3"/>
  <c r="L38" i="3"/>
  <c r="F38" i="3"/>
  <c r="Z38" i="3"/>
  <c r="AB26" i="3"/>
  <c r="AB15" i="3"/>
  <c r="AB38" i="3"/>
  <c r="BY42" i="3" s="1"/>
  <c r="F21" i="4"/>
  <c r="F20" i="4"/>
  <c r="F19" i="4"/>
  <c r="F8" i="4"/>
  <c r="F9" i="4"/>
  <c r="F10" i="4"/>
  <c r="F11" i="4"/>
  <c r="F12" i="4"/>
  <c r="F7" i="4"/>
  <c r="E30" i="4"/>
  <c r="E28" i="4"/>
  <c r="E15" i="4"/>
  <c r="E13" i="4"/>
  <c r="BY49" i="3"/>
  <c r="BY48" i="3"/>
  <c r="BY47" i="3"/>
  <c r="BY46" i="3"/>
  <c r="BY41" i="3"/>
  <c r="BY40" i="3"/>
  <c r="BY39" i="3"/>
  <c r="BY38" i="3"/>
  <c r="BS38" i="3"/>
  <c r="BM38" i="3"/>
  <c r="BG38" i="3"/>
  <c r="BA38" i="3"/>
  <c r="AU38" i="3"/>
  <c r="AO38" i="3"/>
  <c r="AI38" i="3"/>
  <c r="AC38" i="3"/>
  <c r="W38" i="3"/>
  <c r="Q38" i="3"/>
  <c r="K38" i="3"/>
  <c r="E38" i="3"/>
  <c r="D38" i="3"/>
  <c r="C47" i="6"/>
  <c r="H47" i="6" s="1"/>
  <c r="I47" i="6" s="1"/>
  <c r="J47" i="6" s="1"/>
  <c r="J63" i="6" s="1"/>
  <c r="C45" i="6"/>
  <c r="G45" i="6" s="1"/>
  <c r="H45" i="6" s="1"/>
  <c r="I45" i="6" s="1"/>
  <c r="C43" i="6"/>
  <c r="F43" i="6" s="1"/>
  <c r="G43" i="6" s="1"/>
  <c r="H43" i="6" s="1"/>
  <c r="C41" i="6"/>
  <c r="F41" i="6" s="1"/>
  <c r="G41" i="6" s="1"/>
  <c r="H41" i="6" s="1"/>
  <c r="C39" i="6"/>
  <c r="E39" i="6" s="1"/>
  <c r="F39" i="6" s="1"/>
  <c r="G39" i="6" s="1"/>
  <c r="C37" i="6"/>
  <c r="E37" i="6" s="1"/>
  <c r="B21" i="6"/>
  <c r="B16" i="6"/>
  <c r="C16" i="6" s="1"/>
  <c r="H10" i="6"/>
  <c r="J10" i="6" s="1"/>
  <c r="G10" i="6"/>
  <c r="I10" i="6" s="1"/>
  <c r="K10" i="6" s="1"/>
  <c r="H7" i="6"/>
  <c r="J7" i="6" s="1"/>
  <c r="L7" i="6" s="1"/>
  <c r="G7" i="6"/>
  <c r="I7" i="6" s="1"/>
  <c r="K7" i="6" s="1"/>
  <c r="V33" i="3"/>
  <c r="V18" i="3"/>
  <c r="V19" i="3"/>
  <c r="V21" i="3"/>
  <c r="V7" i="3"/>
  <c r="E31" i="2"/>
  <c r="C31" i="2"/>
  <c r="I7" i="3"/>
  <c r="P13" i="3"/>
  <c r="P25" i="3"/>
  <c r="P17" i="3"/>
  <c r="P20" i="3"/>
  <c r="C23" i="2"/>
  <c r="P12" i="3"/>
  <c r="O8" i="3"/>
  <c r="J21" i="3"/>
  <c r="D13" i="4"/>
  <c r="J13" i="3"/>
  <c r="C5" i="3"/>
  <c r="J7" i="3"/>
  <c r="I6" i="3"/>
  <c r="D32" i="3"/>
  <c r="BR38" i="3"/>
  <c r="BL38" i="3"/>
  <c r="BF38" i="3"/>
  <c r="AZ38" i="3"/>
  <c r="AT38" i="3"/>
  <c r="BY45" i="3" s="1"/>
  <c r="AN38" i="3"/>
  <c r="BY44" i="3" s="1"/>
  <c r="J38" i="3"/>
  <c r="D19" i="3"/>
  <c r="D16" i="3"/>
  <c r="D14" i="3"/>
  <c r="D15" i="3"/>
  <c r="B5" i="3"/>
  <c r="B38" i="3" s="1"/>
  <c r="C12" i="2"/>
  <c r="F11" i="2"/>
  <c r="E16" i="2"/>
  <c r="C16" i="2"/>
  <c r="B14" i="2"/>
  <c r="B11" i="2"/>
  <c r="C7" i="2"/>
  <c r="E7" i="2"/>
  <c r="E6" i="2"/>
  <c r="C6" i="2"/>
  <c r="B8" i="2"/>
  <c r="E63" i="6" l="1"/>
  <c r="E67" i="6" s="1"/>
  <c r="E32" i="2"/>
  <c r="I63" i="6"/>
  <c r="H63" i="6"/>
  <c r="C17" i="2"/>
  <c r="C32" i="2"/>
  <c r="F37" i="6"/>
  <c r="BV41" i="3"/>
  <c r="BV38" i="3"/>
  <c r="C8" i="2"/>
  <c r="I16" i="6"/>
  <c r="K16" i="6" s="1"/>
  <c r="M16" i="6" s="1"/>
  <c r="O16" i="6" s="1"/>
  <c r="C21" i="6"/>
  <c r="E21" i="6" s="1"/>
  <c r="C15" i="2"/>
  <c r="V38" i="3"/>
  <c r="P38" i="3"/>
  <c r="H1" i="3"/>
  <c r="E8" i="2"/>
  <c r="C19" i="2" l="1"/>
  <c r="C34" i="2" s="1"/>
  <c r="C36" i="2" s="1"/>
  <c r="C38" i="2" s="1"/>
  <c r="G37" i="6"/>
  <c r="G63" i="6" s="1"/>
  <c r="G67" i="6" s="1"/>
  <c r="F63" i="6"/>
  <c r="F67" i="6" s="1"/>
  <c r="G21" i="6"/>
  <c r="I21" i="6" s="1"/>
  <c r="F21" i="6"/>
  <c r="H21" i="6" s="1"/>
  <c r="G29" i="6"/>
  <c r="H67" i="6" s="1"/>
  <c r="J16" i="6"/>
  <c r="L16" i="6" s="1"/>
  <c r="N16" i="6" s="1"/>
  <c r="E15" i="2"/>
  <c r="H5" i="3"/>
  <c r="K29" i="6" l="1"/>
  <c r="J67" i="6" s="1"/>
  <c r="N29" i="6"/>
  <c r="P16" i="6"/>
  <c r="R30" i="6"/>
  <c r="P30" i="6"/>
  <c r="N30" i="6"/>
  <c r="H29" i="6"/>
  <c r="I29" i="6"/>
  <c r="I67" i="6" s="1"/>
  <c r="E34" i="2"/>
  <c r="E36" i="2" s="1"/>
  <c r="E38" i="2" s="1"/>
  <c r="K21" i="6"/>
  <c r="M29" i="6" s="1"/>
  <c r="J21" i="6"/>
  <c r="J29" i="6" s="1"/>
  <c r="H38" i="3"/>
  <c r="N1" i="3" s="1"/>
  <c r="N5" i="3" s="1"/>
  <c r="J31" i="6" l="1"/>
  <c r="H31" i="6"/>
  <c r="N38" i="3"/>
  <c r="T1" i="3" s="1"/>
  <c r="L21" i="6"/>
  <c r="N31" i="6" s="1"/>
  <c r="L29" i="6"/>
  <c r="L31" i="6" s="1"/>
  <c r="M21" i="6"/>
  <c r="O21" i="6" s="1"/>
  <c r="K67" i="6"/>
  <c r="T5" i="3" l="1"/>
  <c r="T38" i="3" s="1"/>
  <c r="O29" i="6"/>
  <c r="L67" i="6" s="1"/>
  <c r="Q29" i="6"/>
  <c r="N21" i="6"/>
  <c r="P21" i="6" s="1"/>
  <c r="Z1" i="3" l="1"/>
  <c r="P29" i="6"/>
  <c r="P31" i="6" s="1"/>
  <c r="R29" i="6"/>
  <c r="M67" i="6" l="1"/>
  <c r="R31" i="6"/>
  <c r="Z5" i="3"/>
  <c r="AF1" i="3" s="1"/>
  <c r="AF5" i="3" l="1"/>
  <c r="AF38" i="3" s="1"/>
  <c r="AL1" i="3" s="1"/>
  <c r="AL5" i="3" l="1"/>
  <c r="AL38" i="3" s="1"/>
  <c r="AR1" i="3" s="1"/>
  <c r="AR5" i="3" l="1"/>
  <c r="AR38" i="3" s="1"/>
  <c r="AX1" i="3" s="1"/>
  <c r="AX5" i="3" l="1"/>
  <c r="AX38" i="3" s="1"/>
  <c r="BD1" i="3" s="1"/>
  <c r="BD5" i="3" l="1"/>
  <c r="BD38" i="3" s="1"/>
  <c r="BJ1" i="3" s="1"/>
  <c r="BJ5" i="3" l="1"/>
  <c r="BJ38" i="3" s="1"/>
  <c r="BP1" i="3" s="1"/>
  <c r="BP5" i="3" l="1"/>
  <c r="BP3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Maddaluno Mirko</author>
  </authors>
  <commentList>
    <comment ref="C5" authorId="0" shapeId="0" xr:uid="{3AF595B6-139B-492E-A49F-90F6D15AD489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Selene € 250
Mirko € 150</t>
        </r>
      </text>
    </comment>
    <comment ref="AM5" authorId="0" shapeId="0" xr:uid="{EF2AFC2D-B828-4DAA-9329-F3CB1DFEE15E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Ricarica Selene</t>
        </r>
      </text>
    </comment>
    <comment ref="I6" authorId="0" shapeId="0" xr:uid="{508BFD6A-75AB-4440-977D-7353618D937E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Accredito vecchie Poste Pay Sacadute</t>
        </r>
      </text>
    </comment>
    <comment ref="I7" authorId="0" shapeId="0" xr:uid="{973AE280-B4E7-4E4A-B920-B4BD765599FA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- Mirko 170€
- Buoni Pasto Wolf 80€
- Avanzo 8€ Buono Pasto  mese precedente</t>
        </r>
      </text>
    </comment>
    <comment ref="I8" authorId="0" shapeId="0" xr:uid="{69DF0853-B032-4548-934C-2E1410D7770C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Selene 250€</t>
        </r>
      </text>
    </comment>
    <comment ref="O8" authorId="0" shapeId="0" xr:uid="{B45B6EAC-1448-43E7-8AAD-78C06887EF65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Ricarica Selene 
Ricarica Mirko
Ricarica Buoni Pasto</t>
        </r>
      </text>
    </comment>
    <comment ref="U8" authorId="0" shapeId="0" xr:uid="{4AA5C6FB-5CAB-4F6F-9173-4B3E2E0B2426}">
      <text>
        <r>
          <rPr>
            <b/>
            <sz val="9"/>
            <color indexed="81"/>
            <rFont val="Tahoma"/>
            <family val="2"/>
          </rPr>
          <t xml:space="preserve">Maddaluno Mirko:
</t>
        </r>
        <r>
          <rPr>
            <sz val="9"/>
            <color indexed="81"/>
            <rFont val="Tahoma"/>
            <family val="2"/>
          </rPr>
          <t xml:space="preserve">Ricarica Selene
</t>
        </r>
      </text>
    </comment>
    <comment ref="AA9" authorId="0" shapeId="0" xr:uid="{76058558-AC5E-470D-AA87-2D4484169294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Ricarica buoni
</t>
        </r>
      </text>
    </comment>
    <comment ref="AG10" authorId="0" shapeId="0" xr:uid="{2C881D92-821B-4005-A89D-9E89A22355BC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Buoni pasto</t>
        </r>
      </text>
    </comment>
    <comment ref="C11" authorId="0" shapeId="0" xr:uid="{22B6E4CA-D338-4136-BCF6-DF300521ACE8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Buoni Pasto Wolf</t>
        </r>
      </text>
    </comment>
    <comment ref="U11" authorId="0" shapeId="0" xr:uid="{36D9BBC6-BA51-4E55-8805-F565AFC63647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Ricarica Buoni Pasto
</t>
        </r>
      </text>
    </comment>
    <comment ref="AM11" authorId="0" shapeId="0" xr:uid="{4E89F39C-3E85-432D-803C-A8DA0D6906DA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Ricarica buoni pasto
</t>
        </r>
      </text>
    </comment>
    <comment ref="AM12" authorId="0" shapeId="0" xr:uid="{ED41E956-ADA5-4AF3-8D3C-1D979975D9C2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Ricarica Mirko
</t>
        </r>
      </text>
    </comment>
    <comment ref="AM13" authorId="0" shapeId="0" xr:uid="{97B8E3F0-BEAA-49AE-B6A8-BF0ACC1CCFB0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Ricarica Selene</t>
        </r>
      </text>
    </comment>
    <comment ref="AG22" authorId="0" shapeId="0" xr:uid="{5F9A2688-88F6-49D3-B20C-EDE1272E6292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Ricarica Mirko</t>
        </r>
      </text>
    </comment>
    <comment ref="U25" authorId="0" shapeId="0" xr:uid="{94F22585-13B1-4F0A-8E36-DE904CDDC57A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Ricarica Mirko</t>
        </r>
      </text>
    </comment>
    <comment ref="AS27" authorId="0" shapeId="0" xr:uid="{E0D13A0E-5471-4240-AAD3-4D382C459EDB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Ricarica Mirko</t>
        </r>
      </text>
    </comment>
    <comment ref="AA31" authorId="0" shapeId="0" xr:uid="{B9254CE4-9DAC-4FDA-9C0E-4625C3344CDD}">
      <text>
        <r>
          <rPr>
            <b/>
            <sz val="9"/>
            <color indexed="81"/>
            <rFont val="Tahoma"/>
            <family val="2"/>
          </rPr>
          <t>Maddaluno Mirko:</t>
        </r>
        <r>
          <rPr>
            <sz val="9"/>
            <color indexed="81"/>
            <rFont val="Tahoma"/>
            <family val="2"/>
          </rPr>
          <t xml:space="preserve">
Ricarica Selene</t>
        </r>
      </text>
    </comment>
    <comment ref="AM34" authorId="0" shapeId="0" xr:uid="{28126CE8-C5E3-4D17-BA56-DE1F5193A768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Ricarica Selene</t>
        </r>
      </text>
    </comment>
    <comment ref="AM35" authorId="0" shapeId="0" xr:uid="{52D93A87-DCE7-4659-8FCA-359EAF550BC6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Buoni Pasto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Maddaluno Mirko</author>
  </authors>
  <commentList>
    <comment ref="J10" authorId="0" shapeId="0" xr:uid="{E87E6623-145A-4801-B8AB-136DA1403421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Compensato per quota parte Revisione AUTO</t>
        </r>
      </text>
    </comment>
    <comment ref="L10" authorId="0" shapeId="0" xr:uid="{AF0F6902-ECD2-4F15-889E-8F9B155059FD}">
      <text>
        <r>
          <rPr>
            <b/>
            <sz val="9"/>
            <color indexed="81"/>
            <rFont val="Tahoma"/>
            <charset val="1"/>
          </rPr>
          <t>Maddaluno Mirko:</t>
        </r>
        <r>
          <rPr>
            <sz val="9"/>
            <color indexed="81"/>
            <rFont val="Tahoma"/>
            <charset val="1"/>
          </rPr>
          <t xml:space="preserve">
Compensato con spesa in Vacanza</t>
        </r>
      </text>
    </comment>
  </commentList>
</comments>
</file>

<file path=xl/sharedStrings.xml><?xml version="1.0" encoding="utf-8"?>
<sst xmlns="http://schemas.openxmlformats.org/spreadsheetml/2006/main" count="365" uniqueCount="131">
  <si>
    <t>Mirko</t>
  </si>
  <si>
    <t>Selene</t>
  </si>
  <si>
    <t>Affitto</t>
  </si>
  <si>
    <t>Sp. Cond</t>
  </si>
  <si>
    <t>Spesa</t>
  </si>
  <si>
    <t>Conto Posta</t>
  </si>
  <si>
    <t>Buoni spesa</t>
  </si>
  <si>
    <t>Rifiuti</t>
  </si>
  <si>
    <t>Elettrico</t>
  </si>
  <si>
    <t>WiFi</t>
  </si>
  <si>
    <t>Mobili</t>
  </si>
  <si>
    <t>ToT. Uscite</t>
  </si>
  <si>
    <t>Conto Mirko</t>
  </si>
  <si>
    <t>Ragazzi</t>
  </si>
  <si>
    <t>Finanziamenti</t>
  </si>
  <si>
    <t>Macchina</t>
  </si>
  <si>
    <t>Estetista</t>
  </si>
  <si>
    <t>Dentista</t>
  </si>
  <si>
    <t>Ag.Ent.</t>
  </si>
  <si>
    <t>Assicurazione</t>
  </si>
  <si>
    <t>Treno</t>
  </si>
  <si>
    <t>Fido</t>
  </si>
  <si>
    <t>Now</t>
  </si>
  <si>
    <t>Netflix</t>
  </si>
  <si>
    <t>Spotify</t>
  </si>
  <si>
    <t>Cellulare</t>
  </si>
  <si>
    <t>Palestra</t>
  </si>
  <si>
    <t>tot</t>
  </si>
  <si>
    <t>€/gg</t>
  </si>
  <si>
    <t>Resto Dicembre '25</t>
  </si>
  <si>
    <t>Resto Gennaio</t>
  </si>
  <si>
    <t>Resto Febbraio</t>
  </si>
  <si>
    <t>Resto Marzo</t>
  </si>
  <si>
    <t>Resto Aprile</t>
  </si>
  <si>
    <t>Resto Maggio</t>
  </si>
  <si>
    <t>Resto Giugno</t>
  </si>
  <si>
    <t>Resto Luglio</t>
  </si>
  <si>
    <t>Resto Agosto</t>
  </si>
  <si>
    <t>Resto Settembre</t>
  </si>
  <si>
    <t>Resto Ottobre</t>
  </si>
  <si>
    <t>Resto Novembre</t>
  </si>
  <si>
    <t>Gennaio</t>
  </si>
  <si>
    <t>Ricarica Posta/Buoni</t>
  </si>
  <si>
    <t>data</t>
  </si>
  <si>
    <t>dove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</si>
  <si>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</si>
  <si>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</si>
  <si>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</si>
  <si>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</si>
  <si>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</si>
  <si>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</si>
  <si>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</si>
  <si>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</si>
  <si>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</si>
  <si>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</si>
  <si>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</si>
  <si>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BUDGET</t>
  </si>
  <si>
    <t>IPERPOLI</t>
  </si>
  <si>
    <t>PENNINI+ESSELUNGA+ALDI</t>
  </si>
  <si>
    <t>EUROSPAR</t>
  </si>
  <si>
    <t>ALDI - LIDL</t>
  </si>
  <si>
    <t>IPERPOLI+ALDI</t>
  </si>
  <si>
    <t>INTERSPAR</t>
  </si>
  <si>
    <t>LIDL</t>
  </si>
  <si>
    <t>EUROSPAR+LIDL</t>
  </si>
  <si>
    <t>ALDI</t>
  </si>
  <si>
    <t>LIDL+IPERPOLI</t>
  </si>
  <si>
    <t>IPERPOLI - ESSELUNGA</t>
  </si>
  <si>
    <t>IPERPOLI+EUROSPAR</t>
  </si>
  <si>
    <t>ALDI+IPERPOLI</t>
  </si>
  <si>
    <t>TPL FVG</t>
  </si>
  <si>
    <t>IPERPOLI+LIDL</t>
  </si>
  <si>
    <t>TIGOTA'</t>
  </si>
  <si>
    <t>DESPAR</t>
  </si>
  <si>
    <t>MANUS</t>
  </si>
  <si>
    <t>INTERSPAR+IPERPOLI</t>
  </si>
  <si>
    <t>Totale Spesa Annua</t>
  </si>
  <si>
    <t>Media mensile</t>
  </si>
  <si>
    <t>RESTO</t>
  </si>
  <si>
    <t>Media Annua/Giorno</t>
  </si>
  <si>
    <t>ANNO 2025</t>
  </si>
  <si>
    <t>Importo</t>
  </si>
  <si>
    <t>Consumo</t>
  </si>
  <si>
    <t>ENEL</t>
  </si>
  <si>
    <t>mensile</t>
  </si>
  <si>
    <t>ANNO 2026</t>
  </si>
  <si>
    <t>ENGIE</t>
  </si>
  <si>
    <t>Pagamenti Mirko+Selene</t>
  </si>
  <si>
    <t>KLARNA (3 Rate)</t>
  </si>
  <si>
    <t>Rata</t>
  </si>
  <si>
    <t>BBQ</t>
  </si>
  <si>
    <t>VACANZA</t>
  </si>
  <si>
    <t>COFIDIS (5 rate)</t>
  </si>
  <si>
    <t>Tostapane</t>
  </si>
  <si>
    <t>Aspirapolvere</t>
  </si>
  <si>
    <t>Assicurazione acquisto</t>
  </si>
  <si>
    <t>COFIDIS (6 rate)</t>
  </si>
  <si>
    <t>Mobile bagno</t>
  </si>
  <si>
    <t>Mobile lavatrice</t>
  </si>
  <si>
    <t>Materassi</t>
  </si>
  <si>
    <t>Pagamenti Mirko</t>
  </si>
  <si>
    <t>Hotel Kristal (VI)</t>
  </si>
  <si>
    <t>PagoPA</t>
  </si>
  <si>
    <t>Camicissima</t>
  </si>
  <si>
    <t>ENI (Benzina)</t>
  </si>
  <si>
    <t>Comune Appiano</t>
  </si>
  <si>
    <t>Unipol</t>
  </si>
  <si>
    <t>SMPD</t>
  </si>
  <si>
    <t>App. Napoli</t>
  </si>
  <si>
    <t>Totale Rate</t>
  </si>
  <si>
    <t>ES1 BZ G.Galilei</t>
  </si>
  <si>
    <t>TIGOTA' + IPERPOLI</t>
  </si>
  <si>
    <t>EUROSPAR + LIDL</t>
  </si>
  <si>
    <t>MIRKO</t>
  </si>
  <si>
    <t>SELENE</t>
  </si>
  <si>
    <t>TOT.</t>
  </si>
  <si>
    <t>Mirko+Selene</t>
  </si>
  <si>
    <t>Parcheggi</t>
  </si>
  <si>
    <t>Crocera S.M.Leuca</t>
  </si>
  <si>
    <t>MD</t>
  </si>
  <si>
    <t>INTERSPAR + MD</t>
  </si>
  <si>
    <t>Revisione LibertY</t>
  </si>
  <si>
    <t>Libretto</t>
  </si>
  <si>
    <t>LIDL+INTERSPAR</t>
  </si>
  <si>
    <t>Honey Co.</t>
  </si>
  <si>
    <t>OBI</t>
  </si>
  <si>
    <t>VARIE</t>
  </si>
  <si>
    <t>IPERPOLI+GRIES FRUTTA</t>
  </si>
  <si>
    <t>POLI</t>
  </si>
  <si>
    <t>PAM</t>
  </si>
  <si>
    <t>FRANZISKANER + LIDL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</si>
</sst>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\K\w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6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7">
    <xf numFmtId="0" fontId="0" fillId="0" borderId="0" xfId="0"/>
    <xf numFmtId="44" fontId="0" fillId="0" borderId="0" xfId="1" applyFont="1"/>
    <xf numFmtId="44" fontId="0" fillId="0" borderId="0" xfId="0" applyNumberFormat="1"/>
    <xf numFmtId="44" fontId="0" fillId="0" borderId="0" xfId="1" applyFont="1" applyBorder="1"/>
    <xf numFmtId="0" fontId="0" fillId="0" borderId="4" xfId="0" applyBorder="1"/>
    <xf numFmtId="0" fontId="0" fillId="0" borderId="5" xfId="0" applyBorder="1"/>
    <xf numFmtId="44" fontId="2" fillId="0" borderId="8" xfId="1" applyFont="1" applyBorder="1"/>
    <xf numFmtId="0" fontId="0" fillId="0" borderId="0" xfId="0" applyAlignment="1">
      <alignment horizontal="center"/>
    </xf>
    <xf numFmtId="0" fontId="0" fillId="0" borderId="1" xfId="0" applyBorder="1"/>
    <xf numFmtId="44" fontId="0" fillId="0" borderId="9" xfId="1" applyFont="1" applyBorder="1"/>
    <xf numFmtId="44" fontId="0" fillId="0" borderId="9" xfId="0" applyNumberFormat="1" applyBorder="1"/>
    <xf numFmtId="44" fontId="5" fillId="0" borderId="0" xfId="0" applyNumberFormat="1" applyFont="1"/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  <xf numFmtId="44" fontId="5" fillId="0" borderId="0" xfId="1" applyFont="1"/>
    <xf numFmtId="0" fontId="7" fillId="0" borderId="0" xfId="0" applyFont="1"/>
    <xf numFmtId="44" fontId="7" fillId="0" borderId="0" xfId="1" applyFont="1"/>
    <xf numFmtId="44" fontId="7" fillId="0" borderId="0" xfId="0" applyNumberFormat="1" applyFont="1"/>
    <xf numFmtId="0" fontId="5" fillId="0" borderId="0" xfId="0" applyFont="1" applyAlignment="1">
      <alignment horizontal="right"/>
    </xf>
    <xf numFmtId="44" fontId="5" fillId="0" borderId="0" xfId="1" applyFont="1" applyAlignment="1">
      <alignment horizontal="right"/>
    </xf>
    <xf numFmtId="44" fontId="7" fillId="0" borderId="0" xfId="0" applyNumberFormat="1" applyFont="1" applyAlignment="1">
      <alignment horizontal="center" vertical="center"/>
    </xf>
    <xf numFmtId="44" fontId="0" fillId="0" borderId="0" xfId="0" applyNumberFormat="1" applyAlignment="1">
      <alignment horizontal="center"/>
    </xf>
    <xf numFmtId="44" fontId="0" fillId="0" borderId="11" xfId="1" applyFont="1" applyBorder="1"/>
    <xf numFmtId="14" fontId="0" fillId="0" borderId="11" xfId="0" applyNumberFormat="1" applyBorder="1"/>
    <xf numFmtId="0" fontId="0" fillId="0" borderId="11" xfId="0" applyBorder="1"/>
    <xf numFmtId="0" fontId="0" fillId="0" borderId="2" xfId="0" applyBorder="1"/>
    <xf numFmtId="0" fontId="0" fillId="0" borderId="15" xfId="0" applyBorder="1"/>
    <xf numFmtId="0" fontId="0" fillId="0" borderId="3" xfId="0" applyBorder="1"/>
    <xf numFmtId="0" fontId="2" fillId="0" borderId="16" xfId="0" applyFont="1" applyBorder="1"/>
    <xf numFmtId="0" fontId="0" fillId="0" borderId="6" xfId="0" applyBorder="1"/>
    <xf numFmtId="0" fontId="2" fillId="0" borderId="19" xfId="0" applyFont="1" applyBorder="1"/>
    <xf numFmtId="44" fontId="0" fillId="0" borderId="20" xfId="1" applyFont="1" applyBorder="1"/>
    <xf numFmtId="14" fontId="0" fillId="0" borderId="20" xfId="0" applyNumberFormat="1" applyBorder="1"/>
    <xf numFmtId="0" fontId="0" fillId="0" borderId="21" xfId="0" applyBorder="1"/>
    <xf numFmtId="44" fontId="0" fillId="0" borderId="26" xfId="1" applyFont="1" applyBorder="1"/>
    <xf numFmtId="0" fontId="0" fillId="0" borderId="12" xfId="0" applyBorder="1"/>
    <xf numFmtId="44" fontId="0" fillId="0" borderId="12" xfId="1" applyFont="1" applyBorder="1"/>
    <xf numFmtId="44" fontId="2" fillId="5" borderId="21" xfId="0" applyNumberFormat="1" applyFont="1" applyFill="1" applyBorder="1"/>
    <xf numFmtId="44" fontId="6" fillId="2" borderId="23" xfId="0" applyNumberFormat="1" applyFont="1" applyFill="1" applyBorder="1"/>
    <xf numFmtId="44" fontId="2" fillId="0" borderId="5" xfId="0" applyNumberFormat="1" applyFont="1" applyBorder="1"/>
    <xf numFmtId="14" fontId="0" fillId="0" borderId="0" xfId="0" applyNumberFormat="1"/>
    <xf numFmtId="44" fontId="2" fillId="0" borderId="0" xfId="1" applyFont="1"/>
    <xf numFmtId="44" fontId="2" fillId="0" borderId="0" xfId="0" applyNumberFormat="1" applyFont="1"/>
    <xf numFmtId="0" fontId="0" fillId="2" borderId="15" xfId="0" applyFill="1" applyBorder="1"/>
    <xf numFmtId="10" fontId="0" fillId="0" borderId="0" xfId="2" applyNumberFormat="1" applyFont="1"/>
    <xf numFmtId="0" fontId="0" fillId="0" borderId="0" xfId="1" applyNumberFormat="1" applyFont="1" applyAlignment="1">
      <alignment horizontal="center" vertical="center"/>
    </xf>
    <xf numFmtId="44" fontId="0" fillId="0" borderId="11" xfId="0" applyNumberFormat="1" applyBorder="1"/>
    <xf numFmtId="0" fontId="0" fillId="0" borderId="31" xfId="0" applyBorder="1"/>
    <xf numFmtId="44" fontId="0" fillId="0" borderId="31" xfId="1" applyFont="1" applyBorder="1"/>
    <xf numFmtId="44" fontId="0" fillId="0" borderId="15" xfId="1" applyFont="1" applyBorder="1"/>
    <xf numFmtId="0" fontId="0" fillId="0" borderId="16" xfId="0" applyBorder="1"/>
    <xf numFmtId="0" fontId="0" fillId="0" borderId="23" xfId="0" applyBorder="1"/>
    <xf numFmtId="44" fontId="0" fillId="0" borderId="31" xfId="0" applyNumberFormat="1" applyBorder="1"/>
    <xf numFmtId="44" fontId="0" fillId="0" borderId="15" xfId="0" applyNumberFormat="1" applyBorder="1"/>
    <xf numFmtId="0" fontId="0" fillId="0" borderId="19" xfId="0" applyBorder="1"/>
    <xf numFmtId="0" fontId="2" fillId="3" borderId="16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0" fillId="0" borderId="33" xfId="0" applyBorder="1"/>
    <xf numFmtId="44" fontId="0" fillId="0" borderId="33" xfId="1" applyFont="1" applyBorder="1"/>
    <xf numFmtId="0" fontId="0" fillId="0" borderId="34" xfId="0" applyBorder="1"/>
    <xf numFmtId="0" fontId="0" fillId="0" borderId="35" xfId="0" applyBorder="1"/>
    <xf numFmtId="0" fontId="0" fillId="3" borderId="30" xfId="0" applyFill="1" applyBorder="1" applyAlignment="1">
      <alignment horizontal="center"/>
    </xf>
    <xf numFmtId="44" fontId="2" fillId="0" borderId="30" xfId="1" applyFont="1" applyBorder="1" applyAlignment="1">
      <alignment horizontal="center"/>
    </xf>
    <xf numFmtId="44" fontId="2" fillId="0" borderId="35" xfId="1" applyFont="1" applyBorder="1"/>
    <xf numFmtId="44" fontId="2" fillId="0" borderId="34" xfId="1" applyFont="1" applyBorder="1"/>
    <xf numFmtId="0" fontId="2" fillId="0" borderId="30" xfId="0" applyFont="1" applyBorder="1"/>
    <xf numFmtId="44" fontId="2" fillId="0" borderId="30" xfId="1" applyFont="1" applyBorder="1" applyAlignment="1">
      <alignment horizontal="center" vertical="center"/>
    </xf>
    <xf numFmtId="44" fontId="0" fillId="0" borderId="35" xfId="1" applyFont="1" applyBorder="1"/>
    <xf numFmtId="0" fontId="2" fillId="0" borderId="36" xfId="0" applyFont="1" applyBorder="1"/>
    <xf numFmtId="0" fontId="0" fillId="0" borderId="37" xfId="0" applyBorder="1"/>
    <xf numFmtId="0" fontId="0" fillId="0" borderId="38" xfId="0" applyBorder="1"/>
    <xf numFmtId="0" fontId="0" fillId="0" borderId="36" xfId="0" applyBorder="1"/>
    <xf numFmtId="44" fontId="0" fillId="0" borderId="32" xfId="1" applyFont="1" applyBorder="1"/>
    <xf numFmtId="44" fontId="0" fillId="0" borderId="39" xfId="1" applyFont="1" applyBorder="1"/>
    <xf numFmtId="44" fontId="0" fillId="0" borderId="34" xfId="1" applyFont="1" applyBorder="1"/>
    <xf numFmtId="44" fontId="0" fillId="5" borderId="11" xfId="0" applyNumberFormat="1" applyFill="1" applyBorder="1"/>
    <xf numFmtId="44" fontId="0" fillId="5" borderId="31" xfId="1" applyFont="1" applyFill="1" applyBorder="1"/>
    <xf numFmtId="44" fontId="0" fillId="5" borderId="15" xfId="1" applyFont="1" applyFill="1" applyBorder="1"/>
    <xf numFmtId="44" fontId="0" fillId="5" borderId="19" xfId="1" applyFont="1" applyFill="1" applyBorder="1"/>
    <xf numFmtId="44" fontId="0" fillId="5" borderId="21" xfId="1" applyFont="1" applyFill="1" applyBorder="1"/>
    <xf numFmtId="44" fontId="0" fillId="5" borderId="31" xfId="0" applyNumberFormat="1" applyFill="1" applyBorder="1"/>
    <xf numFmtId="44" fontId="0" fillId="5" borderId="15" xfId="0" applyNumberFormat="1" applyFill="1" applyBorder="1"/>
    <xf numFmtId="44" fontId="2" fillId="5" borderId="0" xfId="1" applyFont="1" applyFill="1"/>
    <xf numFmtId="44" fontId="2" fillId="5" borderId="0" xfId="0" applyNumberFormat="1" applyFont="1" applyFill="1"/>
    <xf numFmtId="0" fontId="2" fillId="0" borderId="0" xfId="0" applyFont="1"/>
    <xf numFmtId="0" fontId="7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40" xfId="0" applyBorder="1"/>
    <xf numFmtId="44" fontId="0" fillId="0" borderId="40" xfId="1" applyFont="1" applyBorder="1"/>
    <xf numFmtId="0" fontId="0" fillId="0" borderId="41" xfId="0" applyBorder="1"/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44" fontId="0" fillId="5" borderId="37" xfId="0" applyNumberFormat="1" applyFill="1" applyBorder="1"/>
    <xf numFmtId="44" fontId="0" fillId="5" borderId="37" xfId="1" applyFont="1" applyFill="1" applyBorder="1"/>
    <xf numFmtId="44" fontId="0" fillId="0" borderId="37" xfId="1" applyFont="1" applyBorder="1"/>
    <xf numFmtId="0" fontId="0" fillId="0" borderId="42" xfId="0" applyBorder="1"/>
    <xf numFmtId="44" fontId="0" fillId="5" borderId="19" xfId="0" applyNumberFormat="1" applyFill="1" applyBorder="1"/>
    <xf numFmtId="44" fontId="0" fillId="5" borderId="21" xfId="0" applyNumberFormat="1" applyFill="1" applyBorder="1"/>
    <xf numFmtId="0" fontId="0" fillId="0" borderId="32" xfId="0" applyBorder="1"/>
    <xf numFmtId="44" fontId="0" fillId="0" borderId="6" xfId="0" applyNumberFormat="1" applyBorder="1"/>
    <xf numFmtId="0" fontId="9" fillId="0" borderId="0" xfId="0" applyFont="1"/>
    <xf numFmtId="17" fontId="2" fillId="0" borderId="32" xfId="0" applyNumberFormat="1" applyFont="1" applyBorder="1" applyAlignment="1">
      <alignment horizontal="left" vertical="center"/>
    </xf>
    <xf numFmtId="17" fontId="2" fillId="0" borderId="33" xfId="0" applyNumberFormat="1" applyFont="1" applyBorder="1" applyAlignment="1">
      <alignment horizontal="left" vertical="center"/>
    </xf>
    <xf numFmtId="17" fontId="2" fillId="0" borderId="34" xfId="0" applyNumberFormat="1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21" xfId="1" applyFont="1" applyBorder="1"/>
    <xf numFmtId="44" fontId="0" fillId="0" borderId="45" xfId="1" applyFont="1" applyBorder="1"/>
    <xf numFmtId="44" fontId="0" fillId="0" borderId="46" xfId="1" applyFont="1" applyBorder="1"/>
    <xf numFmtId="44" fontId="14" fillId="5" borderId="31" xfId="0" applyNumberFormat="1" applyFont="1" applyFill="1" applyBorder="1"/>
    <xf numFmtId="44" fontId="0" fillId="0" borderId="11" xfId="1" applyFont="1" applyBorder="1" applyAlignment="1">
      <alignment horizontal="center"/>
    </xf>
    <xf numFmtId="0" fontId="7" fillId="0" borderId="36" xfId="0" applyFont="1" applyBorder="1"/>
    <xf numFmtId="0" fontId="7" fillId="0" borderId="37" xfId="0" applyFont="1" applyBorder="1"/>
    <xf numFmtId="0" fontId="7" fillId="0" borderId="38" xfId="0" applyFont="1" applyBorder="1"/>
    <xf numFmtId="44" fontId="2" fillId="0" borderId="33" xfId="1" applyFont="1" applyBorder="1"/>
    <xf numFmtId="44" fontId="2" fillId="0" borderId="30" xfId="1" applyFont="1" applyBorder="1"/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/>
    <xf numFmtId="44" fontId="0" fillId="0" borderId="13" xfId="1" applyFont="1" applyBorder="1" applyAlignment="1">
      <alignment horizontal="center"/>
    </xf>
    <xf numFmtId="44" fontId="0" fillId="0" borderId="14" xfId="1" applyFont="1" applyBorder="1" applyAlignment="1">
      <alignment horizontal="center"/>
    </xf>
    <xf numFmtId="44" fontId="0" fillId="0" borderId="22" xfId="1" applyFont="1" applyBorder="1"/>
    <xf numFmtId="44" fontId="0" fillId="0" borderId="31" xfId="1" applyFont="1" applyBorder="1" applyAlignment="1">
      <alignment horizontal="center"/>
    </xf>
    <xf numFmtId="44" fontId="0" fillId="0" borderId="16" xfId="1" applyFont="1" applyBorder="1" applyAlignment="1">
      <alignment horizontal="center"/>
    </xf>
    <xf numFmtId="44" fontId="0" fillId="0" borderId="17" xfId="1" applyFont="1" applyBorder="1" applyAlignment="1">
      <alignment horizontal="center"/>
    </xf>
    <xf numFmtId="44" fontId="0" fillId="0" borderId="23" xfId="1" applyFont="1" applyBorder="1"/>
    <xf numFmtId="44" fontId="11" fillId="0" borderId="0" xfId="0" applyNumberFormat="1" applyFont="1"/>
    <xf numFmtId="44" fontId="2" fillId="0" borderId="0" xfId="1" applyFont="1" applyBorder="1"/>
    <xf numFmtId="44" fontId="0" fillId="0" borderId="16" xfId="1" applyFont="1" applyBorder="1"/>
    <xf numFmtId="0" fontId="0" fillId="0" borderId="30" xfId="0" applyBorder="1"/>
    <xf numFmtId="44" fontId="0" fillId="5" borderId="23" xfId="0" applyNumberFormat="1" applyFill="1" applyBorder="1"/>
    <xf numFmtId="44" fontId="2" fillId="0" borderId="49" xfId="1" applyFont="1" applyBorder="1" applyAlignment="1">
      <alignment horizontal="center"/>
    </xf>
    <xf numFmtId="44" fontId="0" fillId="0" borderId="50" xfId="1" applyFont="1" applyBorder="1"/>
    <xf numFmtId="44" fontId="0" fillId="0" borderId="51" xfId="1" applyFont="1" applyBorder="1"/>
    <xf numFmtId="44" fontId="0" fillId="0" borderId="52" xfId="1" applyFont="1" applyBorder="1"/>
    <xf numFmtId="44" fontId="0" fillId="0" borderId="53" xfId="1" applyFont="1" applyBorder="1"/>
    <xf numFmtId="0" fontId="0" fillId="3" borderId="54" xfId="0" applyFill="1" applyBorder="1" applyAlignment="1">
      <alignment horizontal="center"/>
    </xf>
    <xf numFmtId="0" fontId="0" fillId="0" borderId="55" xfId="0" applyBorder="1"/>
    <xf numFmtId="0" fontId="0" fillId="0" borderId="56" xfId="0" applyBorder="1"/>
    <xf numFmtId="44" fontId="0" fillId="5" borderId="56" xfId="0" applyNumberFormat="1" applyFill="1" applyBorder="1"/>
    <xf numFmtId="0" fontId="0" fillId="0" borderId="57" xfId="0" applyBorder="1"/>
    <xf numFmtId="44" fontId="0" fillId="5" borderId="33" xfId="0" applyNumberFormat="1" applyFill="1" applyBorder="1"/>
    <xf numFmtId="44" fontId="0" fillId="0" borderId="33" xfId="0" applyNumberFormat="1" applyBorder="1"/>
    <xf numFmtId="0" fontId="0" fillId="0" borderId="58" xfId="0" applyBorder="1"/>
    <xf numFmtId="44" fontId="0" fillId="5" borderId="57" xfId="0" applyNumberFormat="1" applyFill="1" applyBorder="1"/>
    <xf numFmtId="44" fontId="0" fillId="0" borderId="56" xfId="0" applyNumberFormat="1" applyBorder="1"/>
    <xf numFmtId="44" fontId="0" fillId="0" borderId="55" xfId="0" applyNumberFormat="1" applyBorder="1"/>
    <xf numFmtId="44" fontId="0" fillId="5" borderId="40" xfId="0" applyNumberFormat="1" applyFill="1" applyBorder="1"/>
    <xf numFmtId="44" fontId="0" fillId="0" borderId="35" xfId="0" applyNumberFormat="1" applyBorder="1"/>
    <xf numFmtId="44" fontId="0" fillId="0" borderId="40" xfId="0" applyNumberFormat="1" applyBorder="1"/>
    <xf numFmtId="44" fontId="0" fillId="5" borderId="56" xfId="1" applyFont="1" applyFill="1" applyBorder="1"/>
    <xf numFmtId="44" fontId="14" fillId="5" borderId="56" xfId="1" applyFont="1" applyFill="1" applyBorder="1"/>
    <xf numFmtId="44" fontId="0" fillId="5" borderId="57" xfId="1" applyFont="1" applyFill="1" applyBorder="1"/>
    <xf numFmtId="44" fontId="0" fillId="0" borderId="56" xfId="1" applyFont="1" applyFill="1" applyBorder="1"/>
    <xf numFmtId="0" fontId="0" fillId="3" borderId="2" xfId="0" applyFill="1" applyBorder="1" applyAlignment="1">
      <alignment horizontal="center"/>
    </xf>
    <xf numFmtId="0" fontId="0" fillId="0" borderId="59" xfId="0" applyBorder="1"/>
    <xf numFmtId="0" fontId="0" fillId="0" borderId="51" xfId="0" applyBorder="1"/>
    <xf numFmtId="0" fontId="0" fillId="0" borderId="50" xfId="0" applyBorder="1"/>
    <xf numFmtId="0" fontId="0" fillId="0" borderId="52" xfId="0" applyBorder="1"/>
    <xf numFmtId="44" fontId="0" fillId="0" borderId="51" xfId="0" applyNumberFormat="1" applyBorder="1"/>
    <xf numFmtId="44" fontId="0" fillId="0" borderId="53" xfId="0" applyNumberFormat="1" applyBorder="1"/>
    <xf numFmtId="44" fontId="0" fillId="0" borderId="34" xfId="0" applyNumberFormat="1" applyBorder="1"/>
    <xf numFmtId="44" fontId="0" fillId="5" borderId="58" xfId="0" applyNumberFormat="1" applyFill="1" applyBorder="1"/>
    <xf numFmtId="44" fontId="0" fillId="0" borderId="16" xfId="0" applyNumberFormat="1" applyBorder="1"/>
    <xf numFmtId="0" fontId="15" fillId="0" borderId="32" xfId="0" applyFont="1" applyBorder="1" applyAlignment="1">
      <alignment horizontal="center" vertical="center" textRotation="90"/>
    </xf>
    <xf numFmtId="0" fontId="15" fillId="0" borderId="33" xfId="0" applyFont="1" applyBorder="1" applyAlignment="1">
      <alignment horizontal="center" vertical="center" textRotation="90"/>
    </xf>
    <xf numFmtId="0" fontId="15" fillId="0" borderId="34" xfId="0" applyFont="1" applyBorder="1" applyAlignment="1">
      <alignment horizontal="center" vertical="center" textRotation="90"/>
    </xf>
    <xf numFmtId="0" fontId="7" fillId="0" borderId="0" xfId="0" applyFont="1" applyAlignment="1">
      <alignment horizontal="center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44" fontId="2" fillId="5" borderId="22" xfId="1" applyFont="1" applyFill="1" applyBorder="1" applyAlignment="1">
      <alignment horizontal="center" vertical="center"/>
    </xf>
    <xf numFmtId="44" fontId="2" fillId="5" borderId="27" xfId="1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4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4" fontId="0" fillId="0" borderId="31" xfId="0" applyNumberFormat="1" applyFill="1" applyBorder="1"/>
    <xf numFmtId="44" fontId="0" fillId="0" borderId="15" xfId="0" applyNumberFormat="1" applyFill="1" applyBorder="1"/>
  </cellXfs>
  <cellStyles count="3">
    <cellStyle name="Normale" xfId="0" builtinId="0"/>
    <cellStyle name="Percentuale" xfId="2" builtinId="5"/>
    <cellStyle name="Valuta" xfId="1" builtinId="4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A09C-8109-4DC9-BCA7-32FE8BD596FF}">
  <dimension ref="A2:G38"/>
  <sheetViews>
    <sheetView topLeftCell="A16" zoomScale="145" zoomScaleNormal="145" workbookViewId="0">
      <selection activeCell="I21" sqref="I21"/>
    </sheetView>
  </sheetViews>
  <sheetFormatPr defaultRowHeight="15" x14ac:dyDescent="0.25"/>
  <cols>
    <col min="1" max="1" width="12.85546875" bestFit="1" customWidth="1"/>
    <col min="2" max="2" width="10" style="1" bestFit="1" customWidth="1"/>
    <col min="3" max="3" width="12.140625" bestFit="1" customWidth="1"/>
    <col min="4" max="4" width="13.28515625" bestFit="1" customWidth="1"/>
    <col min="5" max="5" width="12.140625" bestFit="1" customWidth="1"/>
    <col min="6" max="6" width="9.5703125" bestFit="1" customWidth="1"/>
  </cols>
  <sheetData>
    <row r="2" spans="1:7" ht="15.75" x14ac:dyDescent="0.25">
      <c r="C2" s="170"/>
      <c r="D2" s="170"/>
      <c r="E2" s="170"/>
    </row>
    <row r="3" spans="1:7" ht="15.75" x14ac:dyDescent="0.25">
      <c r="C3" s="16">
        <v>2600</v>
      </c>
      <c r="E3" s="16">
        <v>1700</v>
      </c>
    </row>
    <row r="4" spans="1:7" x14ac:dyDescent="0.25">
      <c r="C4" s="7" t="s">
        <v>0</v>
      </c>
      <c r="E4" s="7" t="s">
        <v>1</v>
      </c>
    </row>
    <row r="5" spans="1:7" x14ac:dyDescent="0.25">
      <c r="C5" s="13">
        <v>0.5</v>
      </c>
      <c r="E5" s="13">
        <v>0.5</v>
      </c>
    </row>
    <row r="6" spans="1:7" x14ac:dyDescent="0.25">
      <c r="A6" t="s">
        <v>2</v>
      </c>
      <c r="B6" s="1">
        <v>720</v>
      </c>
      <c r="C6" s="2">
        <f>B6*$C$5</f>
        <v>360</v>
      </c>
      <c r="E6" s="2">
        <f>B6*$E$5</f>
        <v>360</v>
      </c>
    </row>
    <row r="7" spans="1:7" ht="15.75" thickBot="1" x14ac:dyDescent="0.3">
      <c r="A7" t="s">
        <v>3</v>
      </c>
      <c r="B7" s="9">
        <v>80</v>
      </c>
      <c r="C7" s="10">
        <f t="shared" ref="C7" si="0">B7*$C$5</f>
        <v>40</v>
      </c>
      <c r="E7" s="10">
        <f>B7*$E$5</f>
        <v>40</v>
      </c>
    </row>
    <row r="8" spans="1:7" ht="15.75" thickTop="1" x14ac:dyDescent="0.25">
      <c r="B8" s="14">
        <f>SUM(B6:B7)</f>
        <v>800</v>
      </c>
      <c r="C8" s="11">
        <f>SUM(C6:C7)</f>
        <v>400</v>
      </c>
      <c r="E8" s="11">
        <f>SUM(E6:E7)</f>
        <v>400</v>
      </c>
    </row>
    <row r="9" spans="1:7" ht="7.9" customHeight="1" x14ac:dyDescent="0.25"/>
    <row r="10" spans="1:7" x14ac:dyDescent="0.25">
      <c r="C10" s="13">
        <v>0.5</v>
      </c>
      <c r="E10" s="13">
        <v>0.5</v>
      </c>
    </row>
    <row r="11" spans="1:7" x14ac:dyDescent="0.25">
      <c r="A11" t="s">
        <v>4</v>
      </c>
      <c r="B11" s="1">
        <f>C11+E11</f>
        <v>300</v>
      </c>
      <c r="C11" s="1">
        <v>100</v>
      </c>
      <c r="E11" s="1">
        <v>200</v>
      </c>
      <c r="F11" s="2">
        <f>E11</f>
        <v>200</v>
      </c>
      <c r="G11" t="s">
        <v>5</v>
      </c>
    </row>
    <row r="12" spans="1:7" x14ac:dyDescent="0.25">
      <c r="A12" t="s">
        <v>6</v>
      </c>
      <c r="B12" s="1">
        <v>100</v>
      </c>
      <c r="C12" s="1">
        <f>B12</f>
        <v>100</v>
      </c>
      <c r="E12" s="1"/>
      <c r="F12" s="2"/>
    </row>
    <row r="13" spans="1:7" x14ac:dyDescent="0.25">
      <c r="A13" t="s">
        <v>122</v>
      </c>
      <c r="B13" s="1">
        <v>100</v>
      </c>
      <c r="C13" s="1">
        <f>B13*$C$10</f>
        <v>50</v>
      </c>
      <c r="E13" s="1">
        <f>B13*$C$10</f>
        <v>50</v>
      </c>
      <c r="F13" s="2">
        <f>E13</f>
        <v>50</v>
      </c>
      <c r="G13" t="s">
        <v>122</v>
      </c>
    </row>
    <row r="14" spans="1:7" x14ac:dyDescent="0.25">
      <c r="A14" t="s">
        <v>7</v>
      </c>
      <c r="B14" s="1">
        <f>C14+E14</f>
        <v>8.3333333333333339</v>
      </c>
      <c r="C14" s="1">
        <v>4.166666666666667</v>
      </c>
      <c r="E14" s="1">
        <v>4.166666666666667</v>
      </c>
    </row>
    <row r="15" spans="1:7" x14ac:dyDescent="0.25">
      <c r="A15" t="s">
        <v>8</v>
      </c>
      <c r="B15" s="1">
        <f>'Bollette elettriche'!D30</f>
        <v>64.326666666666668</v>
      </c>
      <c r="C15" s="2">
        <f>B15*$C$10</f>
        <v>32.163333333333334</v>
      </c>
      <c r="E15" s="2">
        <f>B15*$E$10</f>
        <v>32.163333333333334</v>
      </c>
    </row>
    <row r="16" spans="1:7" x14ac:dyDescent="0.25">
      <c r="A16" t="s">
        <v>9</v>
      </c>
      <c r="B16" s="3">
        <v>33.950000000000003</v>
      </c>
      <c r="C16" s="2">
        <f>B16*$C$10</f>
        <v>16.975000000000001</v>
      </c>
      <c r="E16" s="2">
        <f>B16*$E$10</f>
        <v>16.975000000000001</v>
      </c>
    </row>
    <row r="17" spans="1:7" x14ac:dyDescent="0.25">
      <c r="A17" t="s">
        <v>10</v>
      </c>
      <c r="B17" s="3">
        <f>108</f>
        <v>108</v>
      </c>
      <c r="C17" s="2">
        <f>B17*$C$10</f>
        <v>54</v>
      </c>
      <c r="E17" s="129">
        <f>-B17*$E$10</f>
        <v>-54</v>
      </c>
    </row>
    <row r="18" spans="1:7" x14ac:dyDescent="0.25">
      <c r="F18" s="21">
        <f>E19-E11-E13</f>
        <v>399.30499999999995</v>
      </c>
      <c r="G18" t="s">
        <v>12</v>
      </c>
    </row>
    <row r="19" spans="1:7" ht="15.75" x14ac:dyDescent="0.25">
      <c r="A19" s="15" t="s">
        <v>11</v>
      </c>
      <c r="B19" s="16"/>
      <c r="C19" s="17">
        <f>C8+C11+C12+C14+C15+C16+C17</f>
        <v>707.30499999999995</v>
      </c>
      <c r="E19" s="17">
        <f>E8+E11+E13+E14+E15+E16+E17</f>
        <v>649.30499999999995</v>
      </c>
    </row>
    <row r="21" spans="1:7" x14ac:dyDescent="0.25">
      <c r="A21" t="s">
        <v>13</v>
      </c>
      <c r="C21" s="1">
        <v>500</v>
      </c>
      <c r="D21" s="12" t="s">
        <v>14</v>
      </c>
      <c r="E21" s="1">
        <f>105-36</f>
        <v>69</v>
      </c>
    </row>
    <row r="22" spans="1:7" x14ac:dyDescent="0.25">
      <c r="A22" t="s">
        <v>15</v>
      </c>
      <c r="C22" s="1">
        <v>255.9</v>
      </c>
      <c r="D22" s="12" t="s">
        <v>16</v>
      </c>
      <c r="E22" s="1">
        <v>50</v>
      </c>
    </row>
    <row r="23" spans="1:7" x14ac:dyDescent="0.25">
      <c r="A23" t="s">
        <v>17</v>
      </c>
      <c r="C23" s="1">
        <f>5581/20*0</f>
        <v>0</v>
      </c>
    </row>
    <row r="24" spans="1:7" x14ac:dyDescent="0.25">
      <c r="A24" t="s">
        <v>18</v>
      </c>
      <c r="C24" s="1">
        <v>50.7</v>
      </c>
    </row>
    <row r="25" spans="1:7" x14ac:dyDescent="0.25">
      <c r="A25" t="s">
        <v>19</v>
      </c>
      <c r="C25" s="1">
        <v>100</v>
      </c>
    </row>
    <row r="26" spans="1:7" x14ac:dyDescent="0.25">
      <c r="A26" t="s">
        <v>20</v>
      </c>
      <c r="C26" s="1">
        <v>22.45</v>
      </c>
    </row>
    <row r="27" spans="1:7" x14ac:dyDescent="0.25">
      <c r="A27" t="s">
        <v>21</v>
      </c>
      <c r="C27" s="1">
        <v>36</v>
      </c>
    </row>
    <row r="28" spans="1:7" x14ac:dyDescent="0.25">
      <c r="A28" t="s">
        <v>23</v>
      </c>
      <c r="C28" s="1">
        <v>7</v>
      </c>
      <c r="D28" s="12" t="s">
        <v>22</v>
      </c>
      <c r="E28" s="1">
        <v>8</v>
      </c>
    </row>
    <row r="29" spans="1:7" x14ac:dyDescent="0.25">
      <c r="A29" t="s">
        <v>24</v>
      </c>
      <c r="C29" s="3">
        <v>11.99</v>
      </c>
      <c r="D29" s="12" t="s">
        <v>24</v>
      </c>
      <c r="E29" s="3">
        <v>3.6</v>
      </c>
    </row>
    <row r="30" spans="1:7" x14ac:dyDescent="0.25">
      <c r="A30" t="s">
        <v>25</v>
      </c>
      <c r="C30" s="3">
        <v>8</v>
      </c>
      <c r="D30" s="12" t="s">
        <v>25</v>
      </c>
      <c r="E30" s="3">
        <v>15</v>
      </c>
    </row>
    <row r="31" spans="1:7" ht="15.75" thickBot="1" x14ac:dyDescent="0.3">
      <c r="A31" t="s">
        <v>26</v>
      </c>
      <c r="C31" s="9">
        <f>20*0</f>
        <v>0</v>
      </c>
      <c r="D31" s="12" t="s">
        <v>26</v>
      </c>
      <c r="E31" s="9">
        <f>20*0</f>
        <v>0</v>
      </c>
    </row>
    <row r="32" spans="1:7" ht="15.75" thickTop="1" x14ac:dyDescent="0.25">
      <c r="C32" s="11">
        <f>SUM(C21:C31)</f>
        <v>992.04000000000008</v>
      </c>
      <c r="E32" s="11">
        <f>SUM(E21:E31)</f>
        <v>145.6</v>
      </c>
    </row>
    <row r="34" spans="2:5" x14ac:dyDescent="0.25">
      <c r="B34" s="19" t="s">
        <v>27</v>
      </c>
      <c r="C34" s="11">
        <f>C19+C32</f>
        <v>1699.345</v>
      </c>
      <c r="D34" s="18" t="s">
        <v>27</v>
      </c>
      <c r="E34" s="11">
        <f>E19+E32</f>
        <v>794.90499999999997</v>
      </c>
    </row>
    <row r="36" spans="2:5" ht="15.75" x14ac:dyDescent="0.25">
      <c r="C36" s="17">
        <f>C3-C34</f>
        <v>900.65499999999997</v>
      </c>
      <c r="E36" s="17">
        <f>E3-E34</f>
        <v>905.09500000000003</v>
      </c>
    </row>
    <row r="38" spans="2:5" ht="15.75" x14ac:dyDescent="0.25">
      <c r="B38" s="1" t="s">
        <v>28</v>
      </c>
      <c r="C38" s="20">
        <f>C36/30</f>
        <v>30.021833333333333</v>
      </c>
      <c r="E38" s="17">
        <f>E36/30</f>
        <v>30.169833333333333</v>
      </c>
    </row>
  </sheetData>
  <mergeCells count="1">
    <mergeCell ref="C2:E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359D-313E-430B-82C4-8D3B57E8A4E3}">
  <dimension ref="A1:BY49"/>
  <sheetViews>
    <sheetView topLeftCell="AG21" zoomScale="115" zoomScaleNormal="115" workbookViewId="0">
      <selection activeCell="AS43" sqref="AS43"/>
    </sheetView>
  </sheetViews>
  <sheetFormatPr defaultRowHeight="15" x14ac:dyDescent="0.25"/>
  <cols>
    <col min="1" max="1" width="12.7109375" customWidth="1"/>
    <col min="2" max="2" width="10.140625" bestFit="1" customWidth="1"/>
    <col min="3" max="3" width="13" customWidth="1"/>
    <col min="4" max="4" width="10.140625" bestFit="1" customWidth="1"/>
    <col min="5" max="5" width="11.5703125" bestFit="1" customWidth="1"/>
    <col min="6" max="6" width="10.42578125" bestFit="1" customWidth="1"/>
    <col min="7" max="7" width="9.28515625" customWidth="1"/>
    <col min="8" max="8" width="10.140625" bestFit="1" customWidth="1"/>
    <col min="9" max="9" width="13" customWidth="1"/>
    <col min="10" max="10" width="10.140625" bestFit="1" customWidth="1"/>
    <col min="11" max="11" width="11.5703125" bestFit="1" customWidth="1"/>
    <col min="12" max="12" width="10.42578125" bestFit="1" customWidth="1"/>
    <col min="14" max="14" width="10.140625" bestFit="1" customWidth="1"/>
    <col min="15" max="15" width="13" customWidth="1"/>
    <col min="16" max="16" width="9.85546875" bestFit="1" customWidth="1"/>
    <col min="17" max="17" width="11.5703125" customWidth="1"/>
    <col min="18" max="18" width="15.140625" bestFit="1" customWidth="1"/>
    <col min="20" max="20" width="11.140625" customWidth="1"/>
    <col min="21" max="21" width="13" customWidth="1"/>
    <col min="22" max="22" width="10.140625" bestFit="1" customWidth="1"/>
    <col min="23" max="23" width="11.85546875" bestFit="1" customWidth="1"/>
    <col min="24" max="24" width="18.85546875" bestFit="1" customWidth="1"/>
    <col min="26" max="26" width="10.140625" bestFit="1" customWidth="1"/>
    <col min="27" max="27" width="13" customWidth="1"/>
    <col min="28" max="28" width="10.140625" bestFit="1" customWidth="1"/>
    <col min="29" max="29" width="12.5703125" bestFit="1" customWidth="1"/>
    <col min="30" max="30" width="19.5703125" bestFit="1" customWidth="1"/>
    <col min="32" max="32" width="10.140625" bestFit="1" customWidth="1"/>
    <col min="33" max="33" width="13" customWidth="1"/>
    <col min="34" max="34" width="9.85546875" bestFit="1" customWidth="1"/>
    <col min="35" max="35" width="11.85546875" bestFit="1" customWidth="1"/>
    <col min="36" max="36" width="25.140625" bestFit="1" customWidth="1"/>
    <col min="38" max="38" width="10.140625" bestFit="1" customWidth="1"/>
    <col min="39" max="39" width="13" customWidth="1"/>
    <col min="40" max="40" width="9.85546875" bestFit="1" customWidth="1"/>
    <col min="41" max="41" width="12.5703125" customWidth="1"/>
    <col min="42" max="42" width="15.42578125" bestFit="1" customWidth="1"/>
    <col min="44" max="44" width="10.140625" bestFit="1" customWidth="1"/>
    <col min="45" max="45" width="13" customWidth="1"/>
    <col min="46" max="46" width="10.140625" bestFit="1" customWidth="1"/>
    <col min="47" max="47" width="11.5703125" bestFit="1" customWidth="1"/>
    <col min="48" max="48" width="22.42578125" bestFit="1" customWidth="1"/>
    <col min="50" max="50" width="10.140625" bestFit="1" customWidth="1"/>
    <col min="51" max="51" width="13" customWidth="1"/>
    <col min="53" max="53" width="10.140625" bestFit="1" customWidth="1"/>
    <col min="55" max="55" width="10.5703125" customWidth="1"/>
    <col min="56" max="56" width="10.140625" bestFit="1" customWidth="1"/>
    <col min="57" max="57" width="13" customWidth="1"/>
    <col min="59" max="59" width="10.140625" bestFit="1" customWidth="1"/>
    <col min="62" max="62" width="10.140625" bestFit="1" customWidth="1"/>
    <col min="63" max="63" width="13" customWidth="1"/>
    <col min="65" max="65" width="10.140625" bestFit="1" customWidth="1"/>
    <col min="67" max="67" width="10.28515625" customWidth="1"/>
    <col min="68" max="68" width="10.140625" bestFit="1" customWidth="1"/>
    <col min="69" max="69" width="13" customWidth="1"/>
    <col min="71" max="71" width="10.140625" bestFit="1" customWidth="1"/>
    <col min="74" max="74" width="20.5703125" bestFit="1" customWidth="1"/>
    <col min="75" max="75" width="15.28515625" bestFit="1" customWidth="1"/>
    <col min="76" max="76" width="2.28515625" bestFit="1" customWidth="1"/>
  </cols>
  <sheetData>
    <row r="1" spans="1:72" x14ac:dyDescent="0.25">
      <c r="A1" s="181" t="s">
        <v>29</v>
      </c>
      <c r="B1" s="183">
        <v>24.79</v>
      </c>
      <c r="C1" s="8"/>
      <c r="D1" s="8"/>
      <c r="E1" s="8"/>
      <c r="F1" s="25"/>
      <c r="G1" s="181" t="s">
        <v>30</v>
      </c>
      <c r="H1" s="183">
        <f>B38</f>
        <v>58.079999999999984</v>
      </c>
      <c r="I1" s="8"/>
      <c r="J1" s="8"/>
      <c r="K1" s="8"/>
      <c r="L1" s="25"/>
      <c r="M1" s="181" t="s">
        <v>31</v>
      </c>
      <c r="N1" s="183">
        <f>H38</f>
        <v>44.690000000000168</v>
      </c>
      <c r="O1" s="8"/>
      <c r="P1" s="8"/>
      <c r="Q1" s="8"/>
      <c r="R1" s="25"/>
      <c r="S1" s="181" t="s">
        <v>32</v>
      </c>
      <c r="T1" s="183">
        <f>N38</f>
        <v>117.34000000000015</v>
      </c>
      <c r="U1" s="8"/>
      <c r="V1" s="8"/>
      <c r="W1" s="8"/>
      <c r="X1" s="25"/>
      <c r="Y1" s="181" t="s">
        <v>33</v>
      </c>
      <c r="Z1" s="183">
        <f>T38</f>
        <v>177.0200000000001</v>
      </c>
      <c r="AA1" s="8"/>
      <c r="AB1" s="8"/>
      <c r="AC1" s="8"/>
      <c r="AD1" s="25"/>
      <c r="AE1" s="181" t="s">
        <v>34</v>
      </c>
      <c r="AF1" s="183">
        <f>Z38</f>
        <v>154.74000000000012</v>
      </c>
      <c r="AG1" s="8"/>
      <c r="AH1" s="8"/>
      <c r="AI1" s="8"/>
      <c r="AJ1" s="25"/>
      <c r="AK1" s="181" t="s">
        <v>35</v>
      </c>
      <c r="AL1" s="183">
        <f>AF38</f>
        <v>29.460000000000093</v>
      </c>
      <c r="AM1" s="8"/>
      <c r="AN1" s="8"/>
      <c r="AO1" s="8"/>
      <c r="AP1" s="25"/>
      <c r="AQ1" s="181" t="s">
        <v>36</v>
      </c>
      <c r="AR1" s="183">
        <f>AL38</f>
        <v>296.54000000000008</v>
      </c>
      <c r="AS1" s="8"/>
      <c r="AT1" s="8"/>
      <c r="AU1" s="8"/>
      <c r="AV1" s="25"/>
      <c r="AW1" s="181" t="s">
        <v>37</v>
      </c>
      <c r="AX1" s="183">
        <f>AR38</f>
        <v>117.23000000000008</v>
      </c>
      <c r="AY1" s="8"/>
      <c r="AZ1" s="8"/>
      <c r="BA1" s="8"/>
      <c r="BB1" s="25"/>
      <c r="BC1" s="181" t="s">
        <v>38</v>
      </c>
      <c r="BD1" s="183">
        <f>AX38</f>
        <v>117.23000000000008</v>
      </c>
      <c r="BE1" s="8"/>
      <c r="BF1" s="8"/>
      <c r="BG1" s="8"/>
      <c r="BH1" s="25"/>
      <c r="BI1" s="181" t="s">
        <v>39</v>
      </c>
      <c r="BJ1" s="183">
        <f>BD38</f>
        <v>117.23000000000008</v>
      </c>
      <c r="BK1" s="8"/>
      <c r="BL1" s="8"/>
      <c r="BM1" s="8"/>
      <c r="BN1" s="25"/>
      <c r="BO1" s="181" t="s">
        <v>40</v>
      </c>
      <c r="BP1" s="183">
        <f>BJ38</f>
        <v>117.23000000000008</v>
      </c>
      <c r="BQ1" s="8"/>
      <c r="BR1" s="8"/>
      <c r="BS1" s="8"/>
      <c r="BT1" s="25"/>
    </row>
    <row r="2" spans="1:72" ht="15.75" thickBot="1" x14ac:dyDescent="0.3">
      <c r="A2" s="182"/>
      <c r="B2" s="184"/>
      <c r="F2" s="4"/>
      <c r="G2" s="182"/>
      <c r="H2" s="184"/>
      <c r="L2" s="4"/>
      <c r="M2" s="182"/>
      <c r="N2" s="184"/>
      <c r="R2" s="4"/>
      <c r="S2" s="182"/>
      <c r="T2" s="184"/>
      <c r="X2" s="4"/>
      <c r="Y2" s="182"/>
      <c r="Z2" s="184"/>
      <c r="AD2" s="4"/>
      <c r="AE2" s="182"/>
      <c r="AF2" s="184"/>
      <c r="AJ2" s="4"/>
      <c r="AK2" s="182"/>
      <c r="AL2" s="184"/>
      <c r="AP2" s="4"/>
      <c r="AQ2" s="182"/>
      <c r="AR2" s="184"/>
      <c r="AV2" s="4"/>
      <c r="AW2" s="182"/>
      <c r="AX2" s="184"/>
      <c r="BB2" s="4"/>
      <c r="BC2" s="182"/>
      <c r="BD2" s="184"/>
      <c r="BH2" s="4"/>
      <c r="BI2" s="182"/>
      <c r="BJ2" s="184"/>
      <c r="BN2" s="4"/>
      <c r="BO2" s="182"/>
      <c r="BP2" s="184"/>
      <c r="BT2" s="4"/>
    </row>
    <row r="3" spans="1:72" s="7" customFormat="1" ht="15" customHeight="1" x14ac:dyDescent="0.25">
      <c r="A3" s="189" t="s">
        <v>41</v>
      </c>
      <c r="B3" s="190"/>
      <c r="C3" s="193" t="s">
        <v>42</v>
      </c>
      <c r="D3" s="177" t="s">
        <v>4</v>
      </c>
      <c r="E3" s="177" t="s">
        <v>43</v>
      </c>
      <c r="F3" s="179" t="s">
        <v>44</v>
      </c>
      <c r="G3" s="185" t="s">
        <v>45</v>
      </c>
      <c r="H3" s="186"/>
      <c r="I3" s="171" t="s">
        <v>42</v>
      </c>
      <c r="J3" s="197" t="s">
        <v>4</v>
      </c>
      <c r="K3" s="173" t="s">
        <v>43</v>
      </c>
      <c r="L3" s="175" t="s">
        <v>44</v>
      </c>
      <c r="M3" s="189" t="s">
        <v>46</v>
      </c>
      <c r="N3" s="190"/>
      <c r="O3" s="193" t="s">
        <v>42</v>
      </c>
      <c r="P3" s="195" t="s">
        <v>4</v>
      </c>
      <c r="Q3" s="177" t="s">
        <v>43</v>
      </c>
      <c r="R3" s="179" t="s">
        <v>44</v>
      </c>
      <c r="S3" s="185" t="s">
        <v>47</v>
      </c>
      <c r="T3" s="186"/>
      <c r="U3" s="171" t="s">
        <v>42</v>
      </c>
      <c r="V3" s="173" t="s">
        <v>4</v>
      </c>
      <c r="W3" s="173" t="s">
        <v>43</v>
      </c>
      <c r="X3" s="175" t="s">
        <v>44</v>
      </c>
      <c r="Y3" s="189" t="s">
        <v>48</v>
      </c>
      <c r="Z3" s="190"/>
      <c r="AA3" s="193" t="s">
        <v>42</v>
      </c>
      <c r="AB3" s="177" t="s">
        <v>4</v>
      </c>
      <c r="AC3" s="177" t="s">
        <v>43</v>
      </c>
      <c r="AD3" s="179" t="s">
        <v>44</v>
      </c>
      <c r="AE3" s="185" t="s">
        <v>49</v>
      </c>
      <c r="AF3" s="186"/>
      <c r="AG3" s="171" t="s">
        <v>42</v>
      </c>
      <c r="AH3" s="173" t="s">
        <v>4</v>
      </c>
      <c r="AI3" s="173" t="s">
        <v>43</v>
      </c>
      <c r="AJ3" s="175" t="s">
        <v>44</v>
      </c>
      <c r="AK3" s="189" t="s">
        <v>50</v>
      </c>
      <c r="AL3" s="190"/>
      <c r="AM3" s="193" t="s">
        <v>42</v>
      </c>
      <c r="AN3" s="177" t="s">
        <v>4</v>
      </c>
      <c r="AO3" s="177" t="s">
        <v>43</v>
      </c>
      <c r="AP3" s="179" t="s">
        <v>44</v>
      </c>
      <c r="AQ3" s="185" t="s">
        <v>51</v>
      </c>
      <c r="AR3" s="186"/>
      <c r="AS3" s="171" t="s">
        <v>42</v>
      </c>
      <c r="AT3" s="173" t="s">
        <v>4</v>
      </c>
      <c r="AU3" s="173" t="s">
        <v>43</v>
      </c>
      <c r="AV3" s="175" t="s">
        <v>44</v>
      </c>
      <c r="AW3" s="189" t="s">
        <v>52</v>
      </c>
      <c r="AX3" s="190"/>
      <c r="AY3" s="193" t="s">
        <v>42</v>
      </c>
      <c r="AZ3" s="177" t="s">
        <v>4</v>
      </c>
      <c r="BA3" s="177" t="s">
        <v>43</v>
      </c>
      <c r="BB3" s="179" t="s">
        <v>44</v>
      </c>
      <c r="BC3" s="185" t="s">
        <v>53</v>
      </c>
      <c r="BD3" s="186"/>
      <c r="BE3" s="171" t="s">
        <v>42</v>
      </c>
      <c r="BF3" s="173" t="s">
        <v>4</v>
      </c>
      <c r="BG3" s="173" t="s">
        <v>43</v>
      </c>
      <c r="BH3" s="175" t="s">
        <v>44</v>
      </c>
      <c r="BI3" s="189" t="s">
        <v>54</v>
      </c>
      <c r="BJ3" s="190"/>
      <c r="BK3" s="193" t="s">
        <v>42</v>
      </c>
      <c r="BL3" s="177" t="s">
        <v>4</v>
      </c>
      <c r="BM3" s="177" t="s">
        <v>43</v>
      </c>
      <c r="BN3" s="179" t="s">
        <v>44</v>
      </c>
      <c r="BO3" s="185" t="s">
        <v>55</v>
      </c>
      <c r="BP3" s="186"/>
      <c r="BQ3" s="171" t="s">
        <v>42</v>
      </c>
      <c r="BR3" s="173" t="s">
        <v>4</v>
      </c>
      <c r="BS3" s="173" t="s">
        <v>43</v>
      </c>
      <c r="BT3" s="175" t="s">
        <v>44</v>
      </c>
    </row>
    <row r="4" spans="1:72" ht="15.75" customHeight="1" thickBot="1" x14ac:dyDescent="0.3">
      <c r="A4" s="191"/>
      <c r="B4" s="192"/>
      <c r="C4" s="194"/>
      <c r="D4" s="178"/>
      <c r="E4" s="178"/>
      <c r="F4" s="180"/>
      <c r="G4" s="187"/>
      <c r="H4" s="188"/>
      <c r="I4" s="172"/>
      <c r="J4" s="198"/>
      <c r="K4" s="174"/>
      <c r="L4" s="176"/>
      <c r="M4" s="191"/>
      <c r="N4" s="192"/>
      <c r="O4" s="194"/>
      <c r="P4" s="196"/>
      <c r="Q4" s="178"/>
      <c r="R4" s="180"/>
      <c r="S4" s="187"/>
      <c r="T4" s="188"/>
      <c r="U4" s="172"/>
      <c r="V4" s="174"/>
      <c r="W4" s="174"/>
      <c r="X4" s="176"/>
      <c r="Y4" s="191"/>
      <c r="Z4" s="192"/>
      <c r="AA4" s="194"/>
      <c r="AB4" s="178"/>
      <c r="AC4" s="178"/>
      <c r="AD4" s="180"/>
      <c r="AE4" s="187"/>
      <c r="AF4" s="188"/>
      <c r="AG4" s="172"/>
      <c r="AH4" s="174"/>
      <c r="AI4" s="174"/>
      <c r="AJ4" s="176"/>
      <c r="AK4" s="191"/>
      <c r="AL4" s="192"/>
      <c r="AM4" s="194"/>
      <c r="AN4" s="178"/>
      <c r="AO4" s="178"/>
      <c r="AP4" s="180"/>
      <c r="AQ4" s="187"/>
      <c r="AR4" s="188"/>
      <c r="AS4" s="172"/>
      <c r="AT4" s="174"/>
      <c r="AU4" s="174"/>
      <c r="AV4" s="176"/>
      <c r="AW4" s="191"/>
      <c r="AX4" s="192"/>
      <c r="AY4" s="194"/>
      <c r="AZ4" s="178"/>
      <c r="BA4" s="178"/>
      <c r="BB4" s="180"/>
      <c r="BC4" s="187"/>
      <c r="BD4" s="188"/>
      <c r="BE4" s="172"/>
      <c r="BF4" s="174"/>
      <c r="BG4" s="174"/>
      <c r="BH4" s="176"/>
      <c r="BI4" s="191"/>
      <c r="BJ4" s="192"/>
      <c r="BK4" s="194"/>
      <c r="BL4" s="178"/>
      <c r="BM4" s="178"/>
      <c r="BN4" s="180"/>
      <c r="BO4" s="187"/>
      <c r="BP4" s="188"/>
      <c r="BQ4" s="172"/>
      <c r="BR4" s="174"/>
      <c r="BS4" s="174"/>
      <c r="BT4" s="176"/>
    </row>
    <row r="5" spans="1:72" x14ac:dyDescent="0.25">
      <c r="A5" s="30" t="s">
        <v>56</v>
      </c>
      <c r="B5" s="37">
        <f>B1+C5+C11</f>
        <v>536.79</v>
      </c>
      <c r="C5" s="34">
        <f>250+150</f>
        <v>400</v>
      </c>
      <c r="D5" s="31">
        <v>6.86</v>
      </c>
      <c r="E5" s="32">
        <v>46036</v>
      </c>
      <c r="F5" s="33" t="s">
        <v>57</v>
      </c>
      <c r="G5" s="30" t="s">
        <v>56</v>
      </c>
      <c r="H5" s="37">
        <f>H1+SUM(I5:I35)</f>
        <v>580.95000000000005</v>
      </c>
      <c r="I5" s="34"/>
      <c r="J5" s="31"/>
      <c r="K5" s="32">
        <v>46067</v>
      </c>
      <c r="L5" s="33"/>
      <c r="M5" s="30" t="s">
        <v>56</v>
      </c>
      <c r="N5" s="37">
        <f>N1+SUM(O5:O35)</f>
        <v>544.69000000000017</v>
      </c>
      <c r="O5" s="34"/>
      <c r="P5" s="31"/>
      <c r="Q5" s="32">
        <v>46095</v>
      </c>
      <c r="R5" s="33"/>
      <c r="S5" s="30" t="s">
        <v>56</v>
      </c>
      <c r="T5" s="37">
        <f>T1+SUM(U5:U35)</f>
        <v>605.34000000000015</v>
      </c>
      <c r="U5" s="34"/>
      <c r="V5" s="31"/>
      <c r="W5" s="32">
        <v>46126</v>
      </c>
      <c r="X5" s="33"/>
      <c r="Y5" s="30" t="s">
        <v>56</v>
      </c>
      <c r="Z5" s="37">
        <f>Z1+SUM(AA5:AA35)</f>
        <v>473.0200000000001</v>
      </c>
      <c r="AA5" s="34"/>
      <c r="AB5" s="31"/>
      <c r="AC5" s="32">
        <v>46156</v>
      </c>
      <c r="AD5" s="33"/>
      <c r="AE5" s="30" t="s">
        <v>56</v>
      </c>
      <c r="AF5" s="37">
        <f>AF1+SUM(AG5:AG35)</f>
        <v>354.74000000000012</v>
      </c>
      <c r="AG5" s="34"/>
      <c r="AH5" s="31">
        <f>15+39.24+6.07</f>
        <v>60.31</v>
      </c>
      <c r="AI5" s="32">
        <v>46187</v>
      </c>
      <c r="AJ5" s="33" t="s">
        <v>58</v>
      </c>
      <c r="AK5" s="30" t="s">
        <v>56</v>
      </c>
      <c r="AL5" s="37">
        <f>AL1+SUM(AM5:AM35)</f>
        <v>767.46</v>
      </c>
      <c r="AM5" s="34">
        <v>200</v>
      </c>
      <c r="AN5" s="31">
        <f>12.54+52.67</f>
        <v>65.210000000000008</v>
      </c>
      <c r="AO5" s="32">
        <v>46217</v>
      </c>
      <c r="AP5" s="33" t="s">
        <v>71</v>
      </c>
      <c r="AQ5" s="30" t="s">
        <v>56</v>
      </c>
      <c r="AR5" s="37">
        <f>AR1+SUM(AS5:AS35)</f>
        <v>408.54000000000008</v>
      </c>
      <c r="AS5" s="34"/>
      <c r="AT5" s="31">
        <v>11.1</v>
      </c>
      <c r="AU5" s="32">
        <v>46248</v>
      </c>
      <c r="AV5" s="33" t="s">
        <v>59</v>
      </c>
      <c r="AW5" s="30" t="s">
        <v>56</v>
      </c>
      <c r="AX5" s="37">
        <f>AX1+SUM(AY5:AY35)</f>
        <v>117.23000000000008</v>
      </c>
      <c r="AY5" s="34"/>
      <c r="AZ5" s="31"/>
      <c r="BA5" s="32">
        <v>46279</v>
      </c>
      <c r="BB5" s="33"/>
      <c r="BC5" s="30" t="s">
        <v>56</v>
      </c>
      <c r="BD5" s="37">
        <f>BD1+SUM(BE5:BE35)</f>
        <v>117.23000000000008</v>
      </c>
      <c r="BE5" s="34"/>
      <c r="BF5" s="31"/>
      <c r="BG5" s="32">
        <v>46309</v>
      </c>
      <c r="BH5" s="33"/>
      <c r="BI5" s="30" t="s">
        <v>56</v>
      </c>
      <c r="BJ5" s="37">
        <f>BJ1+SUM(BK5:BK35)</f>
        <v>117.23000000000008</v>
      </c>
      <c r="BK5" s="34"/>
      <c r="BL5" s="31"/>
      <c r="BM5" s="32">
        <v>46340</v>
      </c>
      <c r="BN5" s="33"/>
      <c r="BO5" s="30" t="s">
        <v>56</v>
      </c>
      <c r="BP5" s="37">
        <f>BP1+SUM(BQ5:BQ35)</f>
        <v>117.23000000000008</v>
      </c>
      <c r="BQ5" s="34"/>
      <c r="BR5" s="31"/>
      <c r="BS5" s="32">
        <v>46370</v>
      </c>
      <c r="BT5" s="33"/>
    </row>
    <row r="6" spans="1:72" x14ac:dyDescent="0.25">
      <c r="A6" s="27"/>
      <c r="B6" s="4"/>
      <c r="C6" s="35"/>
      <c r="D6" s="22">
        <v>27.92</v>
      </c>
      <c r="E6" s="23">
        <v>46037</v>
      </c>
      <c r="F6" s="26" t="s">
        <v>57</v>
      </c>
      <c r="G6" s="27"/>
      <c r="H6" s="4"/>
      <c r="I6" s="36">
        <f>11+3.87</f>
        <v>14.870000000000001</v>
      </c>
      <c r="J6" s="22">
        <v>29.41</v>
      </c>
      <c r="K6" s="23">
        <v>46068</v>
      </c>
      <c r="L6" s="26" t="s">
        <v>59</v>
      </c>
      <c r="M6" s="27"/>
      <c r="N6" s="4"/>
      <c r="O6" s="35"/>
      <c r="P6" s="22"/>
      <c r="Q6" s="32">
        <v>46096</v>
      </c>
      <c r="R6" s="26"/>
      <c r="S6" s="27"/>
      <c r="T6" s="4"/>
      <c r="U6" s="35"/>
      <c r="V6" s="22"/>
      <c r="W6" s="32">
        <v>46127</v>
      </c>
      <c r="X6" s="26"/>
      <c r="Y6" s="27"/>
      <c r="Z6" s="4"/>
      <c r="AA6" s="35"/>
      <c r="AB6" s="22">
        <v>14.1</v>
      </c>
      <c r="AC6" s="32">
        <v>46157</v>
      </c>
      <c r="AD6" s="26" t="s">
        <v>57</v>
      </c>
      <c r="AE6" s="27"/>
      <c r="AF6" s="4"/>
      <c r="AG6" s="35"/>
      <c r="AH6" s="22"/>
      <c r="AI6" s="32">
        <v>46188</v>
      </c>
      <c r="AJ6" s="26"/>
      <c r="AK6" s="27"/>
      <c r="AL6" s="4"/>
      <c r="AM6" s="35"/>
      <c r="AN6" s="22"/>
      <c r="AO6" s="32">
        <v>46218</v>
      </c>
      <c r="AP6" s="26"/>
      <c r="AQ6" s="27"/>
      <c r="AR6" s="4"/>
      <c r="AS6" s="36"/>
      <c r="AT6" s="22"/>
      <c r="AU6" s="32">
        <v>46249</v>
      </c>
      <c r="AV6" s="26"/>
      <c r="AW6" s="27"/>
      <c r="AX6" s="4"/>
      <c r="AY6" s="35"/>
      <c r="AZ6" s="22"/>
      <c r="BA6" s="32">
        <v>46280</v>
      </c>
      <c r="BB6" s="26"/>
      <c r="BC6" s="27"/>
      <c r="BD6" s="4"/>
      <c r="BE6" s="35"/>
      <c r="BF6" s="22"/>
      <c r="BG6" s="32">
        <v>46310</v>
      </c>
      <c r="BH6" s="26"/>
      <c r="BI6" s="27"/>
      <c r="BJ6" s="4"/>
      <c r="BK6" s="35"/>
      <c r="BL6" s="22"/>
      <c r="BM6" s="32">
        <v>46341</v>
      </c>
      <c r="BN6" s="26"/>
      <c r="BO6" s="27"/>
      <c r="BP6" s="4"/>
      <c r="BQ6" s="35"/>
      <c r="BR6" s="22"/>
      <c r="BS6" s="32">
        <v>46371</v>
      </c>
      <c r="BT6" s="26"/>
    </row>
    <row r="7" spans="1:72" x14ac:dyDescent="0.25">
      <c r="A7" s="27"/>
      <c r="B7" s="4"/>
      <c r="C7" s="36"/>
      <c r="D7" s="22">
        <v>22.4</v>
      </c>
      <c r="E7" s="23">
        <v>46038</v>
      </c>
      <c r="F7" s="26" t="s">
        <v>57</v>
      </c>
      <c r="G7" s="27"/>
      <c r="H7" s="4"/>
      <c r="I7" s="36">
        <f>170+80+8</f>
        <v>258</v>
      </c>
      <c r="J7" s="22">
        <f>56.12+110.4</f>
        <v>166.52</v>
      </c>
      <c r="K7" s="23">
        <v>46069</v>
      </c>
      <c r="L7" s="26" t="s">
        <v>60</v>
      </c>
      <c r="M7" s="27"/>
      <c r="N7" s="4"/>
      <c r="O7" s="36"/>
      <c r="P7" s="22"/>
      <c r="Q7" s="32">
        <v>46097</v>
      </c>
      <c r="R7" s="26"/>
      <c r="S7" s="27"/>
      <c r="T7" s="4"/>
      <c r="U7" s="36"/>
      <c r="V7" s="22">
        <f>6.9+9.96</f>
        <v>16.86</v>
      </c>
      <c r="W7" s="32">
        <v>46128</v>
      </c>
      <c r="X7" s="26" t="s">
        <v>61</v>
      </c>
      <c r="Y7" s="27"/>
      <c r="Z7" s="4"/>
      <c r="AA7" s="36"/>
      <c r="AB7" s="22">
        <v>139.05000000000001</v>
      </c>
      <c r="AC7" s="32">
        <v>46158</v>
      </c>
      <c r="AD7" s="26" t="s">
        <v>62</v>
      </c>
      <c r="AE7" s="27"/>
      <c r="AF7" s="4"/>
      <c r="AG7" s="36"/>
      <c r="AH7" s="22">
        <v>14.69</v>
      </c>
      <c r="AI7" s="32">
        <v>46189</v>
      </c>
      <c r="AJ7" s="26" t="s">
        <v>63</v>
      </c>
      <c r="AK7" s="27"/>
      <c r="AL7" s="4"/>
      <c r="AM7" s="36"/>
      <c r="AN7" s="22"/>
      <c r="AO7" s="32">
        <v>46219</v>
      </c>
      <c r="AP7" s="26"/>
      <c r="AQ7" s="27"/>
      <c r="AR7" s="4"/>
      <c r="AS7" s="36"/>
      <c r="AT7" s="22">
        <f>14.12+17.41</f>
        <v>31.53</v>
      </c>
      <c r="AU7" s="32">
        <v>46250</v>
      </c>
      <c r="AV7" s="26" t="s">
        <v>112</v>
      </c>
      <c r="AW7" s="27"/>
      <c r="AX7" s="4"/>
      <c r="AY7" s="36"/>
      <c r="AZ7" s="22"/>
      <c r="BA7" s="32">
        <v>46281</v>
      </c>
      <c r="BB7" s="26"/>
      <c r="BC7" s="27"/>
      <c r="BD7" s="4"/>
      <c r="BE7" s="36"/>
      <c r="BF7" s="22"/>
      <c r="BG7" s="32">
        <v>46311</v>
      </c>
      <c r="BH7" s="26"/>
      <c r="BI7" s="27"/>
      <c r="BJ7" s="4"/>
      <c r="BK7" s="36"/>
      <c r="BL7" s="22"/>
      <c r="BM7" s="32">
        <v>46342</v>
      </c>
      <c r="BN7" s="26"/>
      <c r="BO7" s="27"/>
      <c r="BP7" s="4"/>
      <c r="BQ7" s="36"/>
      <c r="BR7" s="22"/>
      <c r="BS7" s="32">
        <v>46372</v>
      </c>
      <c r="BT7" s="26"/>
    </row>
    <row r="8" spans="1:72" x14ac:dyDescent="0.25">
      <c r="A8" s="27"/>
      <c r="B8" s="4"/>
      <c r="C8" s="35"/>
      <c r="D8" s="24"/>
      <c r="E8" s="23">
        <v>46039</v>
      </c>
      <c r="F8" s="26"/>
      <c r="G8" s="27"/>
      <c r="H8" s="4"/>
      <c r="I8" s="36">
        <v>250</v>
      </c>
      <c r="J8" s="24"/>
      <c r="K8" s="23">
        <v>46070</v>
      </c>
      <c r="L8" s="26"/>
      <c r="M8" s="27"/>
      <c r="N8" s="4"/>
      <c r="O8" s="36">
        <f>250+96+154</f>
        <v>500</v>
      </c>
      <c r="P8" s="24"/>
      <c r="Q8" s="32">
        <v>46098</v>
      </c>
      <c r="R8" s="26"/>
      <c r="S8" s="27"/>
      <c r="T8" s="4"/>
      <c r="U8" s="36">
        <v>200</v>
      </c>
      <c r="V8" s="22">
        <v>18.21</v>
      </c>
      <c r="W8" s="32">
        <v>46129</v>
      </c>
      <c r="X8" s="26" t="s">
        <v>63</v>
      </c>
      <c r="Y8" s="27"/>
      <c r="Z8" s="4"/>
      <c r="AA8" s="35"/>
      <c r="AB8" s="24"/>
      <c r="AC8" s="32">
        <v>46159</v>
      </c>
      <c r="AD8" s="26"/>
      <c r="AE8" s="27"/>
      <c r="AF8" s="4"/>
      <c r="AG8" s="35"/>
      <c r="AH8" s="22">
        <v>14.72</v>
      </c>
      <c r="AI8" s="32">
        <v>46190</v>
      </c>
      <c r="AJ8" s="26" t="s">
        <v>57</v>
      </c>
      <c r="AK8" s="27"/>
      <c r="AL8" s="4"/>
      <c r="AM8" s="35"/>
      <c r="AN8" s="24"/>
      <c r="AO8" s="32">
        <v>46220</v>
      </c>
      <c r="AP8" s="26"/>
      <c r="AQ8" s="27"/>
      <c r="AR8" s="4"/>
      <c r="AS8" s="36"/>
      <c r="AT8" s="22">
        <f>20.97+11.76</f>
        <v>32.729999999999997</v>
      </c>
      <c r="AU8" s="32">
        <v>46251</v>
      </c>
      <c r="AV8" s="26" t="s">
        <v>127</v>
      </c>
      <c r="AW8" s="27"/>
      <c r="AX8" s="4"/>
      <c r="AY8" s="35"/>
      <c r="AZ8" s="24"/>
      <c r="BA8" s="32">
        <v>46282</v>
      </c>
      <c r="BB8" s="26"/>
      <c r="BC8" s="27"/>
      <c r="BD8" s="4"/>
      <c r="BE8" s="35"/>
      <c r="BF8" s="24"/>
      <c r="BG8" s="32">
        <v>46312</v>
      </c>
      <c r="BH8" s="26"/>
      <c r="BI8" s="27"/>
      <c r="BJ8" s="4"/>
      <c r="BK8" s="35"/>
      <c r="BL8" s="24"/>
      <c r="BM8" s="32">
        <v>46343</v>
      </c>
      <c r="BN8" s="26"/>
      <c r="BO8" s="27"/>
      <c r="BP8" s="4"/>
      <c r="BQ8" s="35"/>
      <c r="BR8" s="24"/>
      <c r="BS8" s="32">
        <v>46373</v>
      </c>
      <c r="BT8" s="26"/>
    </row>
    <row r="9" spans="1:72" x14ac:dyDescent="0.25">
      <c r="A9" s="27"/>
      <c r="B9" s="4"/>
      <c r="C9" s="36"/>
      <c r="D9" s="22">
        <v>11.66</v>
      </c>
      <c r="E9" s="23">
        <v>46040</v>
      </c>
      <c r="F9" s="26" t="s">
        <v>63</v>
      </c>
      <c r="G9" s="27"/>
      <c r="H9" s="4"/>
      <c r="I9" s="36"/>
      <c r="J9" s="22"/>
      <c r="K9" s="23">
        <v>46071</v>
      </c>
      <c r="L9" s="26"/>
      <c r="M9" s="27"/>
      <c r="N9" s="4"/>
      <c r="O9" s="36"/>
      <c r="P9" s="22"/>
      <c r="Q9" s="32">
        <v>46099</v>
      </c>
      <c r="R9" s="26"/>
      <c r="S9" s="27"/>
      <c r="T9" s="4"/>
      <c r="U9" s="36"/>
      <c r="V9" s="22"/>
      <c r="W9" s="32">
        <v>46130</v>
      </c>
      <c r="X9" s="26"/>
      <c r="Y9" s="27"/>
      <c r="Z9" s="4"/>
      <c r="AA9" s="36">
        <v>96</v>
      </c>
      <c r="AB9" s="22"/>
      <c r="AC9" s="32">
        <v>46160</v>
      </c>
      <c r="AD9" s="26"/>
      <c r="AE9" s="27"/>
      <c r="AF9" s="4"/>
      <c r="AG9" s="36"/>
      <c r="AH9" s="22">
        <v>10.45</v>
      </c>
      <c r="AI9" s="32">
        <v>46191</v>
      </c>
      <c r="AJ9" s="26" t="s">
        <v>57</v>
      </c>
      <c r="AK9" s="27"/>
      <c r="AL9" s="4"/>
      <c r="AM9" s="36"/>
      <c r="AN9" s="22">
        <v>45.9</v>
      </c>
      <c r="AO9" s="32">
        <v>46221</v>
      </c>
      <c r="AP9" s="26" t="s">
        <v>119</v>
      </c>
      <c r="AQ9" s="27"/>
      <c r="AR9" s="4"/>
      <c r="AS9" s="36"/>
      <c r="AT9" s="22"/>
      <c r="AU9" s="32">
        <v>46252</v>
      </c>
      <c r="AV9" s="26"/>
      <c r="AW9" s="27"/>
      <c r="AX9" s="4"/>
      <c r="AY9" s="36"/>
      <c r="AZ9" s="22"/>
      <c r="BA9" s="32">
        <v>46283</v>
      </c>
      <c r="BB9" s="26"/>
      <c r="BC9" s="27"/>
      <c r="BD9" s="4"/>
      <c r="BE9" s="36"/>
      <c r="BF9" s="22"/>
      <c r="BG9" s="32">
        <v>46313</v>
      </c>
      <c r="BH9" s="26"/>
      <c r="BI9" s="27"/>
      <c r="BJ9" s="4"/>
      <c r="BK9" s="36"/>
      <c r="BL9" s="22"/>
      <c r="BM9" s="32">
        <v>46344</v>
      </c>
      <c r="BN9" s="26"/>
      <c r="BO9" s="27"/>
      <c r="BP9" s="4"/>
      <c r="BQ9" s="36"/>
      <c r="BR9" s="22"/>
      <c r="BS9" s="32">
        <v>46374</v>
      </c>
      <c r="BT9" s="26"/>
    </row>
    <row r="10" spans="1:72" x14ac:dyDescent="0.25">
      <c r="A10" s="27"/>
      <c r="B10" s="4"/>
      <c r="C10" s="36"/>
      <c r="D10" s="22">
        <v>21.24</v>
      </c>
      <c r="E10" s="23">
        <v>46041</v>
      </c>
      <c r="F10" s="26" t="s">
        <v>57</v>
      </c>
      <c r="G10" s="27"/>
      <c r="H10" s="4"/>
      <c r="I10" s="36"/>
      <c r="J10" s="22"/>
      <c r="K10" s="23">
        <v>46072</v>
      </c>
      <c r="L10" s="26"/>
      <c r="M10" s="27"/>
      <c r="N10" s="4"/>
      <c r="O10" s="36"/>
      <c r="P10" s="22"/>
      <c r="Q10" s="32">
        <v>46100</v>
      </c>
      <c r="R10" s="26"/>
      <c r="S10" s="27"/>
      <c r="T10" s="4"/>
      <c r="U10" s="36"/>
      <c r="V10" s="22"/>
      <c r="W10" s="32">
        <v>46131</v>
      </c>
      <c r="X10" s="26"/>
      <c r="Y10" s="27"/>
      <c r="Z10" s="4"/>
      <c r="AA10" s="36"/>
      <c r="AB10" s="22"/>
      <c r="AC10" s="32">
        <v>46161</v>
      </c>
      <c r="AD10" s="26"/>
      <c r="AE10" s="27"/>
      <c r="AF10" s="4"/>
      <c r="AG10" s="36">
        <v>72</v>
      </c>
      <c r="AH10" s="22"/>
      <c r="AI10" s="32">
        <v>46192</v>
      </c>
      <c r="AJ10" s="26"/>
      <c r="AK10" s="27"/>
      <c r="AL10" s="4"/>
      <c r="AN10" s="22">
        <f>73.86+24.53</f>
        <v>98.39</v>
      </c>
      <c r="AO10" s="32">
        <v>46222</v>
      </c>
      <c r="AP10" s="26" t="s">
        <v>120</v>
      </c>
      <c r="AQ10" s="27"/>
      <c r="AR10" s="4"/>
      <c r="AS10" s="36"/>
      <c r="AT10" s="22">
        <v>7.03</v>
      </c>
      <c r="AU10" s="32">
        <v>46253</v>
      </c>
      <c r="AV10" s="26"/>
      <c r="AW10" s="27"/>
      <c r="AX10" s="4"/>
      <c r="AY10" s="36"/>
      <c r="AZ10" s="22"/>
      <c r="BA10" s="32">
        <v>46284</v>
      </c>
      <c r="BB10" s="26"/>
      <c r="BC10" s="27"/>
      <c r="BD10" s="4"/>
      <c r="BE10" s="36"/>
      <c r="BF10" s="22"/>
      <c r="BG10" s="32">
        <v>46314</v>
      </c>
      <c r="BH10" s="26"/>
      <c r="BI10" s="27"/>
      <c r="BJ10" s="4"/>
      <c r="BK10" s="36"/>
      <c r="BL10" s="22"/>
      <c r="BM10" s="32">
        <v>46345</v>
      </c>
      <c r="BN10" s="26"/>
      <c r="BO10" s="27"/>
      <c r="BP10" s="4"/>
      <c r="BQ10" s="36"/>
      <c r="BR10" s="22"/>
      <c r="BS10" s="32">
        <v>46375</v>
      </c>
      <c r="BT10" s="26"/>
    </row>
    <row r="11" spans="1:72" x14ac:dyDescent="0.25">
      <c r="A11" s="27"/>
      <c r="B11" s="4"/>
      <c r="C11" s="36">
        <v>112</v>
      </c>
      <c r="D11" s="24"/>
      <c r="E11" s="23">
        <v>46042</v>
      </c>
      <c r="F11" s="26"/>
      <c r="G11" s="27"/>
      <c r="H11" s="4"/>
      <c r="I11" s="36"/>
      <c r="J11" s="22">
        <v>35.909999999999997</v>
      </c>
      <c r="K11" s="23">
        <v>46073</v>
      </c>
      <c r="L11" s="26" t="s">
        <v>57</v>
      </c>
      <c r="M11" s="27"/>
      <c r="N11" s="4"/>
      <c r="O11" s="36"/>
      <c r="P11" s="22">
        <v>16</v>
      </c>
      <c r="Q11" s="32">
        <v>46101</v>
      </c>
      <c r="R11" s="26" t="s">
        <v>57</v>
      </c>
      <c r="S11" s="27"/>
      <c r="T11" s="4"/>
      <c r="U11" s="36">
        <v>88</v>
      </c>
      <c r="V11" s="22"/>
      <c r="W11" s="32">
        <v>46132</v>
      </c>
      <c r="X11" s="26"/>
      <c r="Y11" s="27"/>
      <c r="Z11" s="4"/>
      <c r="AA11" s="36"/>
      <c r="AB11" s="24"/>
      <c r="AC11" s="32">
        <v>46162</v>
      </c>
      <c r="AD11" s="26"/>
      <c r="AE11" s="27"/>
      <c r="AF11" s="4"/>
      <c r="AG11" s="36"/>
      <c r="AH11" s="24"/>
      <c r="AI11" s="32">
        <v>46193</v>
      </c>
      <c r="AJ11" s="26"/>
      <c r="AK11" s="27"/>
      <c r="AL11" s="4"/>
      <c r="AM11" s="36">
        <v>104</v>
      </c>
      <c r="AN11" s="24"/>
      <c r="AO11" s="32">
        <v>46223</v>
      </c>
      <c r="AP11" s="26"/>
      <c r="AQ11" s="27"/>
      <c r="AR11" s="4"/>
      <c r="AS11" s="36"/>
      <c r="AT11" s="22"/>
      <c r="AU11" s="32">
        <v>46254</v>
      </c>
      <c r="AV11" s="26" t="s">
        <v>57</v>
      </c>
      <c r="AW11" s="27"/>
      <c r="AX11" s="4"/>
      <c r="AY11" s="36"/>
      <c r="AZ11" s="24"/>
      <c r="BA11" s="32">
        <v>46285</v>
      </c>
      <c r="BB11" s="26"/>
      <c r="BC11" s="27"/>
      <c r="BD11" s="4"/>
      <c r="BE11" s="36"/>
      <c r="BF11" s="24"/>
      <c r="BG11" s="32">
        <v>46315</v>
      </c>
      <c r="BH11" s="26"/>
      <c r="BI11" s="27"/>
      <c r="BJ11" s="4"/>
      <c r="BK11" s="36"/>
      <c r="BL11" s="24"/>
      <c r="BM11" s="32">
        <v>46346</v>
      </c>
      <c r="BN11" s="26"/>
      <c r="BO11" s="27"/>
      <c r="BP11" s="4"/>
      <c r="BQ11" s="36"/>
      <c r="BR11" s="24"/>
      <c r="BS11" s="32">
        <v>46376</v>
      </c>
      <c r="BT11" s="26"/>
    </row>
    <row r="12" spans="1:72" x14ac:dyDescent="0.25">
      <c r="A12" s="27"/>
      <c r="B12" s="4"/>
      <c r="C12" s="36"/>
      <c r="D12" s="22">
        <v>56</v>
      </c>
      <c r="E12" s="23">
        <v>46043</v>
      </c>
      <c r="F12" s="26" t="s">
        <v>57</v>
      </c>
      <c r="G12" s="27"/>
      <c r="H12" s="4"/>
      <c r="I12" s="36"/>
      <c r="K12" s="23">
        <v>46074</v>
      </c>
      <c r="M12" s="27"/>
      <c r="N12" s="4"/>
      <c r="O12" s="36"/>
      <c r="P12" s="22">
        <f>17.51+10.23</f>
        <v>27.740000000000002</v>
      </c>
      <c r="Q12" s="32">
        <v>46102</v>
      </c>
      <c r="R12" s="26" t="s">
        <v>64</v>
      </c>
      <c r="S12" s="27"/>
      <c r="T12" s="4"/>
      <c r="U12" s="36"/>
      <c r="V12" s="22">
        <v>31.52</v>
      </c>
      <c r="W12" s="32">
        <v>46133</v>
      </c>
      <c r="X12" s="26" t="s">
        <v>65</v>
      </c>
      <c r="Y12" s="27"/>
      <c r="Z12" s="4"/>
      <c r="AA12" s="36"/>
      <c r="AB12" s="22"/>
      <c r="AC12" s="32">
        <v>46163</v>
      </c>
      <c r="AD12" s="26"/>
      <c r="AE12" s="27"/>
      <c r="AF12" s="4"/>
      <c r="AG12" s="36"/>
      <c r="AH12" s="22"/>
      <c r="AI12" s="32">
        <v>46194</v>
      </c>
      <c r="AJ12" s="26"/>
      <c r="AK12" s="27"/>
      <c r="AL12" s="4"/>
      <c r="AM12" s="36">
        <f>96</f>
        <v>96</v>
      </c>
      <c r="AN12" s="22">
        <v>25</v>
      </c>
      <c r="AO12" s="32">
        <v>46224</v>
      </c>
      <c r="AP12" s="26" t="s">
        <v>59</v>
      </c>
      <c r="AQ12" s="27"/>
      <c r="AR12" s="4"/>
      <c r="AS12" s="36"/>
      <c r="AT12" s="22"/>
      <c r="AU12" s="32">
        <v>46255</v>
      </c>
      <c r="AV12" s="26"/>
      <c r="AW12" s="27"/>
      <c r="AX12" s="4"/>
      <c r="AY12" s="36"/>
      <c r="AZ12" s="22"/>
      <c r="BA12" s="32">
        <v>46286</v>
      </c>
      <c r="BB12" s="26"/>
      <c r="BC12" s="27"/>
      <c r="BD12" s="4"/>
      <c r="BE12" s="36"/>
      <c r="BF12" s="22"/>
      <c r="BG12" s="32">
        <v>46316</v>
      </c>
      <c r="BH12" s="26"/>
      <c r="BI12" s="27"/>
      <c r="BJ12" s="4"/>
      <c r="BK12" s="36"/>
      <c r="BL12" s="22"/>
      <c r="BM12" s="32">
        <v>46347</v>
      </c>
      <c r="BN12" s="26"/>
      <c r="BO12" s="27"/>
      <c r="BP12" s="4"/>
      <c r="BQ12" s="36"/>
      <c r="BR12" s="22"/>
      <c r="BS12" s="32">
        <v>46377</v>
      </c>
      <c r="BT12" s="26"/>
    </row>
    <row r="13" spans="1:72" x14ac:dyDescent="0.25">
      <c r="A13" s="27"/>
      <c r="B13" s="4"/>
      <c r="C13" s="36"/>
      <c r="D13" s="22">
        <v>29.4</v>
      </c>
      <c r="E13" s="23">
        <v>46044</v>
      </c>
      <c r="F13" s="26" t="s">
        <v>59</v>
      </c>
      <c r="G13" s="27"/>
      <c r="H13" s="4"/>
      <c r="I13" s="36"/>
      <c r="J13" s="22">
        <f>3.89+8</f>
        <v>11.89</v>
      </c>
      <c r="K13" s="23">
        <v>46075</v>
      </c>
      <c r="L13" s="26" t="s">
        <v>59</v>
      </c>
      <c r="M13" s="27"/>
      <c r="N13" s="4"/>
      <c r="O13" s="36"/>
      <c r="P13" s="22">
        <f>23.62+8</f>
        <v>31.62</v>
      </c>
      <c r="Q13" s="32">
        <v>46103</v>
      </c>
      <c r="R13" s="26" t="s">
        <v>66</v>
      </c>
      <c r="S13" s="27"/>
      <c r="T13" s="4"/>
      <c r="U13" s="36"/>
      <c r="V13" s="22"/>
      <c r="W13" s="32">
        <v>46134</v>
      </c>
      <c r="X13" s="26"/>
      <c r="Y13" s="27"/>
      <c r="Z13" s="4"/>
      <c r="AA13" s="36"/>
      <c r="AB13" s="22"/>
      <c r="AC13" s="32">
        <v>46164</v>
      </c>
      <c r="AD13" s="26"/>
      <c r="AE13" s="27"/>
      <c r="AF13" s="4"/>
      <c r="AG13" s="36"/>
      <c r="AH13" s="22">
        <f>6.14+32+8</f>
        <v>46.14</v>
      </c>
      <c r="AI13" s="32">
        <v>46195</v>
      </c>
      <c r="AJ13" s="26" t="s">
        <v>63</v>
      </c>
      <c r="AK13" s="27"/>
      <c r="AL13" s="4"/>
      <c r="AM13" s="36">
        <v>50</v>
      </c>
      <c r="AN13" s="22">
        <v>14.86</v>
      </c>
      <c r="AO13" s="32">
        <v>46225</v>
      </c>
      <c r="AP13" s="26" t="s">
        <v>63</v>
      </c>
      <c r="AQ13" s="27"/>
      <c r="AR13" s="4"/>
      <c r="AS13" s="36"/>
      <c r="AT13" s="22"/>
      <c r="AU13" s="32">
        <v>46256</v>
      </c>
      <c r="AV13" s="26"/>
      <c r="AW13" s="27"/>
      <c r="AX13" s="4"/>
      <c r="AY13" s="36"/>
      <c r="AZ13" s="22"/>
      <c r="BA13" s="32">
        <v>46287</v>
      </c>
      <c r="BB13" s="26"/>
      <c r="BC13" s="27"/>
      <c r="BD13" s="4"/>
      <c r="BE13" s="36"/>
      <c r="BF13" s="22"/>
      <c r="BG13" s="32">
        <v>46317</v>
      </c>
      <c r="BH13" s="26"/>
      <c r="BI13" s="27"/>
      <c r="BJ13" s="4"/>
      <c r="BK13" s="36"/>
      <c r="BL13" s="22"/>
      <c r="BM13" s="32">
        <v>46348</v>
      </c>
      <c r="BN13" s="26"/>
      <c r="BO13" s="27"/>
      <c r="BP13" s="4"/>
      <c r="BQ13" s="36"/>
      <c r="BR13" s="22"/>
      <c r="BS13" s="32">
        <v>46378</v>
      </c>
      <c r="BT13" s="26"/>
    </row>
    <row r="14" spans="1:72" x14ac:dyDescent="0.25">
      <c r="A14" s="27"/>
      <c r="B14" s="4"/>
      <c r="C14" s="36"/>
      <c r="D14" s="22">
        <f>6.2+24</f>
        <v>30.2</v>
      </c>
      <c r="E14" s="23">
        <v>46045</v>
      </c>
      <c r="F14" s="26" t="s">
        <v>57</v>
      </c>
      <c r="G14" s="27"/>
      <c r="H14" s="4"/>
      <c r="I14" s="36"/>
      <c r="J14" s="22"/>
      <c r="K14" s="23">
        <v>46076</v>
      </c>
      <c r="L14" s="26"/>
      <c r="M14" s="27"/>
      <c r="N14" s="4"/>
      <c r="O14" s="36"/>
      <c r="P14" s="22"/>
      <c r="Q14" s="32">
        <v>46104</v>
      </c>
      <c r="R14" s="26"/>
      <c r="S14" s="27"/>
      <c r="T14" s="4"/>
      <c r="U14" s="36"/>
      <c r="V14" s="22">
        <v>22.76</v>
      </c>
      <c r="W14" s="32">
        <v>46135</v>
      </c>
      <c r="X14" s="26" t="s">
        <v>65</v>
      </c>
      <c r="Y14" s="27"/>
      <c r="Z14" s="4"/>
      <c r="AA14" s="36"/>
      <c r="AB14" s="22">
        <v>16</v>
      </c>
      <c r="AC14" s="32">
        <v>46165</v>
      </c>
      <c r="AD14" s="26" t="s">
        <v>63</v>
      </c>
      <c r="AE14" s="27"/>
      <c r="AF14" s="4"/>
      <c r="AG14" s="36"/>
      <c r="AH14" s="22"/>
      <c r="AI14" s="32">
        <v>46196</v>
      </c>
      <c r="AJ14" s="26"/>
      <c r="AK14" s="27"/>
      <c r="AL14" s="4"/>
      <c r="AM14" s="36"/>
      <c r="AN14" s="22">
        <f>7.01+8</f>
        <v>15.01</v>
      </c>
      <c r="AO14" s="32">
        <v>46226</v>
      </c>
      <c r="AP14" s="26" t="s">
        <v>57</v>
      </c>
      <c r="AQ14" s="27"/>
      <c r="AR14" s="4"/>
      <c r="AS14" s="36"/>
      <c r="AT14" s="22">
        <f>28.38+48</f>
        <v>76.38</v>
      </c>
      <c r="AU14" s="32">
        <v>46257</v>
      </c>
      <c r="AV14" s="26" t="s">
        <v>59</v>
      </c>
      <c r="AW14" s="27"/>
      <c r="AX14" s="4"/>
      <c r="AY14" s="36"/>
      <c r="AZ14" s="22"/>
      <c r="BA14" s="32">
        <v>46288</v>
      </c>
      <c r="BB14" s="26"/>
      <c r="BC14" s="27"/>
      <c r="BD14" s="4"/>
      <c r="BE14" s="36"/>
      <c r="BF14" s="22"/>
      <c r="BG14" s="32">
        <v>46318</v>
      </c>
      <c r="BH14" s="26"/>
      <c r="BI14" s="27"/>
      <c r="BJ14" s="4"/>
      <c r="BK14" s="36"/>
      <c r="BL14" s="22"/>
      <c r="BM14" s="32">
        <v>46349</v>
      </c>
      <c r="BN14" s="26"/>
      <c r="BO14" s="27"/>
      <c r="BP14" s="4"/>
      <c r="BQ14" s="36"/>
      <c r="BR14" s="22"/>
      <c r="BS14" s="32">
        <v>46379</v>
      </c>
      <c r="BT14" s="26"/>
    </row>
    <row r="15" spans="1:72" x14ac:dyDescent="0.25">
      <c r="A15" s="27"/>
      <c r="B15" s="4"/>
      <c r="C15" s="36"/>
      <c r="D15" s="22">
        <f>8.67+1.59</f>
        <v>10.26</v>
      </c>
      <c r="E15" s="23">
        <v>46046</v>
      </c>
      <c r="F15" s="26" t="s">
        <v>67</v>
      </c>
      <c r="G15" s="27"/>
      <c r="H15" s="4"/>
      <c r="I15" s="36"/>
      <c r="J15" s="22">
        <v>19.59</v>
      </c>
      <c r="K15" s="23">
        <v>46077</v>
      </c>
      <c r="L15" s="26" t="s">
        <v>63</v>
      </c>
      <c r="M15" s="27"/>
      <c r="N15" s="4"/>
      <c r="O15" s="36"/>
      <c r="P15" s="22"/>
      <c r="Q15" s="32">
        <v>46105</v>
      </c>
      <c r="R15" s="26"/>
      <c r="S15" s="27"/>
      <c r="T15" s="4"/>
      <c r="U15" s="36"/>
      <c r="V15" s="22"/>
      <c r="W15" s="32">
        <v>46136</v>
      </c>
      <c r="X15" s="26"/>
      <c r="Y15" s="27"/>
      <c r="Z15" s="4"/>
      <c r="AA15" s="36"/>
      <c r="AB15" s="22">
        <f>5+32+8+8</f>
        <v>53</v>
      </c>
      <c r="AC15" s="32">
        <v>46166</v>
      </c>
      <c r="AD15" s="26" t="s">
        <v>68</v>
      </c>
      <c r="AE15" s="27"/>
      <c r="AF15" s="4"/>
      <c r="AG15" s="36"/>
      <c r="AH15" s="22">
        <v>8</v>
      </c>
      <c r="AI15" s="32">
        <v>46197</v>
      </c>
      <c r="AJ15" s="26" t="s">
        <v>57</v>
      </c>
      <c r="AK15" s="27"/>
      <c r="AL15" s="4"/>
      <c r="AM15" s="36"/>
      <c r="AN15" s="22">
        <v>6.9</v>
      </c>
      <c r="AO15" s="32">
        <v>46227</v>
      </c>
      <c r="AP15" s="26" t="s">
        <v>57</v>
      </c>
      <c r="AQ15" s="27"/>
      <c r="AR15" s="4"/>
      <c r="AS15" s="36"/>
      <c r="AT15" s="22"/>
      <c r="AU15" s="32">
        <v>46258</v>
      </c>
      <c r="AV15" s="26"/>
      <c r="AW15" s="27"/>
      <c r="AX15" s="4"/>
      <c r="AY15" s="36"/>
      <c r="AZ15" s="22"/>
      <c r="BA15" s="32">
        <v>46289</v>
      </c>
      <c r="BB15" s="26"/>
      <c r="BC15" s="27"/>
      <c r="BD15" s="4"/>
      <c r="BE15" s="36"/>
      <c r="BF15" s="22"/>
      <c r="BG15" s="32">
        <v>46319</v>
      </c>
      <c r="BH15" s="26"/>
      <c r="BI15" s="27"/>
      <c r="BJ15" s="4"/>
      <c r="BK15" s="36"/>
      <c r="BL15" s="22"/>
      <c r="BM15" s="32">
        <v>46350</v>
      </c>
      <c r="BN15" s="26"/>
      <c r="BO15" s="27"/>
      <c r="BP15" s="4"/>
      <c r="BQ15" s="36"/>
      <c r="BR15" s="22"/>
      <c r="BS15" s="32">
        <v>46380</v>
      </c>
      <c r="BT15" s="26"/>
    </row>
    <row r="16" spans="1:72" x14ac:dyDescent="0.25">
      <c r="A16" s="27"/>
      <c r="B16" s="4"/>
      <c r="C16" s="36"/>
      <c r="D16" s="22">
        <f>32.12+9.53+8</f>
        <v>49.65</v>
      </c>
      <c r="E16" s="23">
        <v>46047</v>
      </c>
      <c r="F16" s="26" t="s">
        <v>63</v>
      </c>
      <c r="G16" s="27"/>
      <c r="H16" s="4"/>
      <c r="I16" s="36"/>
      <c r="J16" s="22"/>
      <c r="K16" s="23">
        <v>46078</v>
      </c>
      <c r="L16" s="26"/>
      <c r="M16" s="27"/>
      <c r="N16" s="4"/>
      <c r="O16" s="36"/>
      <c r="P16" s="22"/>
      <c r="Q16" s="32">
        <v>46106</v>
      </c>
      <c r="R16" s="26"/>
      <c r="S16" s="27"/>
      <c r="T16" s="4"/>
      <c r="U16" s="36"/>
      <c r="V16" s="22"/>
      <c r="W16" s="32">
        <v>46137</v>
      </c>
      <c r="X16" s="26"/>
      <c r="Y16" s="27"/>
      <c r="Z16" s="4"/>
      <c r="AA16" s="36"/>
      <c r="AB16" s="22"/>
      <c r="AC16" s="32">
        <v>46167</v>
      </c>
      <c r="AD16" s="26"/>
      <c r="AE16" s="27"/>
      <c r="AF16" s="4"/>
      <c r="AG16" s="36"/>
      <c r="AH16" s="22"/>
      <c r="AI16" s="32">
        <v>46198</v>
      </c>
      <c r="AJ16" s="26"/>
      <c r="AK16" s="27"/>
      <c r="AL16" s="4"/>
      <c r="AM16" s="36"/>
      <c r="AN16" s="22">
        <f>0.39+40</f>
        <v>40.39</v>
      </c>
      <c r="AO16" s="32">
        <v>46228</v>
      </c>
      <c r="AP16" s="26" t="s">
        <v>62</v>
      </c>
      <c r="AQ16" s="27"/>
      <c r="AR16" s="4"/>
      <c r="AS16" s="36"/>
      <c r="AT16" s="22">
        <f>8.39+40</f>
        <v>48.39</v>
      </c>
      <c r="AU16" s="32">
        <v>46259</v>
      </c>
      <c r="AV16" s="26" t="s">
        <v>57</v>
      </c>
      <c r="AW16" s="27"/>
      <c r="AX16" s="4"/>
      <c r="AY16" s="36"/>
      <c r="AZ16" s="22"/>
      <c r="BA16" s="32">
        <v>46290</v>
      </c>
      <c r="BB16" s="26"/>
      <c r="BC16" s="27"/>
      <c r="BD16" s="4"/>
      <c r="BE16" s="36"/>
      <c r="BF16" s="22"/>
      <c r="BG16" s="32">
        <v>46320</v>
      </c>
      <c r="BH16" s="26"/>
      <c r="BI16" s="27"/>
      <c r="BJ16" s="4"/>
      <c r="BK16" s="36"/>
      <c r="BL16" s="22"/>
      <c r="BM16" s="32">
        <v>46351</v>
      </c>
      <c r="BN16" s="26"/>
      <c r="BO16" s="27"/>
      <c r="BP16" s="4"/>
      <c r="BQ16" s="36"/>
      <c r="BR16" s="22"/>
      <c r="BS16" s="32">
        <v>46381</v>
      </c>
      <c r="BT16" s="26"/>
    </row>
    <row r="17" spans="1:72" x14ac:dyDescent="0.25">
      <c r="A17" s="27"/>
      <c r="B17" s="4"/>
      <c r="C17" s="36"/>
      <c r="D17" s="22"/>
      <c r="E17" s="23">
        <v>46048</v>
      </c>
      <c r="F17" s="26"/>
      <c r="G17" s="27"/>
      <c r="H17" s="4"/>
      <c r="I17" s="36"/>
      <c r="J17" s="22"/>
      <c r="K17" s="23">
        <v>46079</v>
      </c>
      <c r="L17" s="26"/>
      <c r="M17" s="27"/>
      <c r="N17" s="4"/>
      <c r="O17" s="36"/>
      <c r="P17" s="22">
        <f>109.15+8</f>
        <v>117.15</v>
      </c>
      <c r="Q17" s="32">
        <v>46107</v>
      </c>
      <c r="R17" s="26" t="s">
        <v>69</v>
      </c>
      <c r="S17" s="27"/>
      <c r="T17" s="4"/>
      <c r="U17" s="36"/>
      <c r="V17" s="22">
        <v>22.79</v>
      </c>
      <c r="W17" s="32">
        <v>46138</v>
      </c>
      <c r="X17" s="26" t="s">
        <v>63</v>
      </c>
      <c r="Y17" s="27"/>
      <c r="Z17" s="4"/>
      <c r="AA17" s="36"/>
      <c r="AB17" s="22"/>
      <c r="AC17" s="32">
        <v>46168</v>
      </c>
      <c r="AD17" s="26"/>
      <c r="AE17" s="27"/>
      <c r="AF17" s="4"/>
      <c r="AG17" s="36"/>
      <c r="AH17" s="22">
        <v>4.43</v>
      </c>
      <c r="AI17" s="32">
        <v>46199</v>
      </c>
      <c r="AJ17" s="26" t="s">
        <v>57</v>
      </c>
      <c r="AK17" s="27"/>
      <c r="AL17" s="4"/>
      <c r="AM17" s="36"/>
      <c r="AN17" s="22">
        <v>8</v>
      </c>
      <c r="AO17" s="32">
        <v>46229</v>
      </c>
      <c r="AP17" s="26" t="s">
        <v>62</v>
      </c>
      <c r="AQ17" s="27"/>
      <c r="AR17" s="4"/>
      <c r="AS17" s="36"/>
      <c r="AT17" s="22">
        <v>3.99</v>
      </c>
      <c r="AU17" s="32">
        <v>46260</v>
      </c>
      <c r="AV17" s="26" t="s">
        <v>128</v>
      </c>
      <c r="AW17" s="27"/>
      <c r="AX17" s="4"/>
      <c r="AY17" s="36"/>
      <c r="AZ17" s="22"/>
      <c r="BA17" s="32">
        <v>46291</v>
      </c>
      <c r="BB17" s="26"/>
      <c r="BC17" s="27"/>
      <c r="BD17" s="4"/>
      <c r="BE17" s="36"/>
      <c r="BF17" s="22"/>
      <c r="BG17" s="32">
        <v>46321</v>
      </c>
      <c r="BH17" s="26"/>
      <c r="BI17" s="27"/>
      <c r="BJ17" s="4"/>
      <c r="BK17" s="36"/>
      <c r="BL17" s="22"/>
      <c r="BM17" s="32">
        <v>46352</v>
      </c>
      <c r="BN17" s="26"/>
      <c r="BO17" s="27"/>
      <c r="BP17" s="4"/>
      <c r="BQ17" s="36"/>
      <c r="BR17" s="22"/>
      <c r="BS17" s="32">
        <v>46382</v>
      </c>
      <c r="BT17" s="26"/>
    </row>
    <row r="18" spans="1:72" x14ac:dyDescent="0.25">
      <c r="A18" s="27"/>
      <c r="B18" s="4"/>
      <c r="C18" s="36"/>
      <c r="D18" s="22"/>
      <c r="E18" s="23">
        <v>46049</v>
      </c>
      <c r="F18" s="26"/>
      <c r="G18" s="27"/>
      <c r="H18" s="4"/>
      <c r="I18" s="36"/>
      <c r="J18" s="22">
        <v>8</v>
      </c>
      <c r="K18" s="23">
        <v>46080</v>
      </c>
      <c r="L18" s="26" t="s">
        <v>57</v>
      </c>
      <c r="M18" s="27"/>
      <c r="N18" s="4"/>
      <c r="O18" s="36"/>
      <c r="P18" s="22"/>
      <c r="Q18" s="32">
        <v>46108</v>
      </c>
      <c r="R18" s="26"/>
      <c r="S18" s="27"/>
      <c r="T18" s="4"/>
      <c r="U18" s="36"/>
      <c r="V18" s="22">
        <f>2.79+24</f>
        <v>26.79</v>
      </c>
      <c r="W18" s="32">
        <v>46139</v>
      </c>
      <c r="X18" s="26" t="s">
        <v>57</v>
      </c>
      <c r="Y18" s="27"/>
      <c r="Z18" s="4"/>
      <c r="AA18" s="36"/>
      <c r="AB18" s="22"/>
      <c r="AC18" s="32">
        <v>46169</v>
      </c>
      <c r="AD18" s="26"/>
      <c r="AE18" s="27"/>
      <c r="AF18" s="4"/>
      <c r="AG18" s="36"/>
      <c r="AH18" s="22">
        <v>4.12</v>
      </c>
      <c r="AI18" s="32">
        <v>46200</v>
      </c>
      <c r="AJ18" s="26" t="s">
        <v>110</v>
      </c>
      <c r="AK18" s="27"/>
      <c r="AL18" s="4"/>
      <c r="AM18" s="36"/>
      <c r="AN18" s="22">
        <v>38.67</v>
      </c>
      <c r="AO18" s="32">
        <v>46230</v>
      </c>
      <c r="AP18" s="26" t="s">
        <v>119</v>
      </c>
      <c r="AQ18" s="27"/>
      <c r="AR18" s="4"/>
      <c r="AS18" s="36"/>
      <c r="AT18" s="22">
        <v>10.36</v>
      </c>
      <c r="AU18" s="32">
        <v>46261</v>
      </c>
      <c r="AV18" s="26" t="s">
        <v>65</v>
      </c>
      <c r="AW18" s="27"/>
      <c r="AX18" s="4"/>
      <c r="AY18" s="36"/>
      <c r="AZ18" s="22"/>
      <c r="BA18" s="32">
        <v>46292</v>
      </c>
      <c r="BB18" s="26"/>
      <c r="BC18" s="27"/>
      <c r="BD18" s="4"/>
      <c r="BE18" s="36"/>
      <c r="BF18" s="22"/>
      <c r="BG18" s="32">
        <v>46322</v>
      </c>
      <c r="BH18" s="26"/>
      <c r="BI18" s="27"/>
      <c r="BJ18" s="4"/>
      <c r="BK18" s="36"/>
      <c r="BL18" s="22"/>
      <c r="BM18" s="32">
        <v>46353</v>
      </c>
      <c r="BN18" s="26"/>
      <c r="BO18" s="27"/>
      <c r="BP18" s="4"/>
      <c r="BQ18" s="36"/>
      <c r="BR18" s="22"/>
      <c r="BS18" s="32">
        <v>46383</v>
      </c>
      <c r="BT18" s="26"/>
    </row>
    <row r="19" spans="1:72" x14ac:dyDescent="0.25">
      <c r="A19" s="27"/>
      <c r="B19" s="4"/>
      <c r="C19" s="36"/>
      <c r="D19" s="22">
        <f>6.55+24</f>
        <v>30.55</v>
      </c>
      <c r="E19" s="23">
        <v>46050</v>
      </c>
      <c r="F19" s="26" t="s">
        <v>57</v>
      </c>
      <c r="G19" s="27"/>
      <c r="H19" s="4"/>
      <c r="I19" s="36"/>
      <c r="J19" s="22"/>
      <c r="K19" s="23">
        <v>46081</v>
      </c>
      <c r="L19" s="26"/>
      <c r="M19" s="27"/>
      <c r="N19" s="4"/>
      <c r="O19" s="36"/>
      <c r="P19" s="22"/>
      <c r="Q19" s="32">
        <v>46109</v>
      </c>
      <c r="R19" s="26"/>
      <c r="S19" s="27"/>
      <c r="T19" s="4"/>
      <c r="U19" s="36"/>
      <c r="V19" s="22">
        <f>1.92+5.65+40+24</f>
        <v>71.569999999999993</v>
      </c>
      <c r="W19" s="32">
        <v>46140</v>
      </c>
      <c r="X19" s="26" t="s">
        <v>57</v>
      </c>
      <c r="Y19" s="27"/>
      <c r="Z19" s="4"/>
      <c r="AA19" s="36"/>
      <c r="AB19" s="22">
        <v>1.5</v>
      </c>
      <c r="AC19" s="32">
        <v>46170</v>
      </c>
      <c r="AD19" s="26" t="s">
        <v>70</v>
      </c>
      <c r="AE19" s="27"/>
      <c r="AF19" s="4"/>
      <c r="AG19" s="36"/>
      <c r="AH19" s="22"/>
      <c r="AI19" s="32">
        <v>46201</v>
      </c>
      <c r="AJ19" s="26"/>
      <c r="AK19" s="27"/>
      <c r="AL19" s="4"/>
      <c r="AM19" s="36"/>
      <c r="AN19" s="22">
        <v>4.09</v>
      </c>
      <c r="AO19" s="32">
        <v>46231</v>
      </c>
      <c r="AP19" s="26" t="s">
        <v>65</v>
      </c>
      <c r="AQ19" s="27"/>
      <c r="AR19" s="4"/>
      <c r="AS19" s="36"/>
      <c r="AT19" s="22"/>
      <c r="AU19" s="32">
        <v>46262</v>
      </c>
      <c r="AV19" s="26"/>
      <c r="AW19" s="27"/>
      <c r="AX19" s="4"/>
      <c r="AY19" s="36"/>
      <c r="AZ19" s="22"/>
      <c r="BA19" s="32">
        <v>46293</v>
      </c>
      <c r="BB19" s="26"/>
      <c r="BC19" s="27"/>
      <c r="BD19" s="4"/>
      <c r="BE19" s="36"/>
      <c r="BF19" s="22"/>
      <c r="BG19" s="32">
        <v>46323</v>
      </c>
      <c r="BH19" s="26"/>
      <c r="BI19" s="27"/>
      <c r="BJ19" s="4"/>
      <c r="BK19" s="36"/>
      <c r="BL19" s="22"/>
      <c r="BM19" s="32">
        <v>46354</v>
      </c>
      <c r="BN19" s="26"/>
      <c r="BO19" s="27"/>
      <c r="BP19" s="4"/>
      <c r="BQ19" s="36"/>
      <c r="BR19" s="22"/>
      <c r="BS19" s="32">
        <v>46384</v>
      </c>
      <c r="BT19" s="26"/>
    </row>
    <row r="20" spans="1:72" x14ac:dyDescent="0.25">
      <c r="A20" s="27"/>
      <c r="B20" s="4"/>
      <c r="C20" s="36"/>
      <c r="D20" s="22"/>
      <c r="E20" s="23">
        <v>46051</v>
      </c>
      <c r="F20" s="26"/>
      <c r="G20" s="27"/>
      <c r="H20" s="4"/>
      <c r="I20" s="36"/>
      <c r="J20" s="22"/>
      <c r="K20" s="23">
        <v>46082</v>
      </c>
      <c r="L20" s="26"/>
      <c r="M20" s="27"/>
      <c r="N20" s="4"/>
      <c r="O20" s="36"/>
      <c r="P20" s="22">
        <f>7.04+56+7.13</f>
        <v>70.17</v>
      </c>
      <c r="Q20" s="32">
        <v>46110</v>
      </c>
      <c r="R20" s="26" t="s">
        <v>71</v>
      </c>
      <c r="S20" s="27"/>
      <c r="T20" s="4"/>
      <c r="U20" s="36"/>
      <c r="V20" s="22"/>
      <c r="W20" s="32">
        <v>46141</v>
      </c>
      <c r="X20" s="26"/>
      <c r="Y20" s="27"/>
      <c r="Z20" s="4"/>
      <c r="AA20" s="36"/>
      <c r="AB20" s="22"/>
      <c r="AC20" s="32">
        <v>46171</v>
      </c>
      <c r="AD20" s="26"/>
      <c r="AE20" s="27"/>
      <c r="AF20" s="4"/>
      <c r="AG20" s="36"/>
      <c r="AH20" s="22"/>
      <c r="AI20" s="32">
        <v>46202</v>
      </c>
      <c r="AJ20" s="26"/>
      <c r="AK20" s="27"/>
      <c r="AL20" s="4"/>
      <c r="AM20" s="36"/>
      <c r="AN20" s="22">
        <v>5.38</v>
      </c>
      <c r="AO20" s="32">
        <v>46232</v>
      </c>
      <c r="AP20" s="26" t="s">
        <v>59</v>
      </c>
      <c r="AQ20" s="27"/>
      <c r="AR20" s="4"/>
      <c r="AS20" s="36"/>
      <c r="AT20" s="22"/>
      <c r="AU20" s="32">
        <v>46263</v>
      </c>
      <c r="AV20" s="26"/>
      <c r="AW20" s="27"/>
      <c r="AX20" s="4"/>
      <c r="AY20" s="36"/>
      <c r="AZ20" s="22"/>
      <c r="BA20" s="32">
        <v>46294</v>
      </c>
      <c r="BB20" s="26"/>
      <c r="BC20" s="27"/>
      <c r="BD20" s="4"/>
      <c r="BE20" s="36"/>
      <c r="BF20" s="22"/>
      <c r="BG20" s="32">
        <v>46324</v>
      </c>
      <c r="BH20" s="26"/>
      <c r="BI20" s="27"/>
      <c r="BJ20" s="4"/>
      <c r="BK20" s="36"/>
      <c r="BL20" s="22"/>
      <c r="BM20" s="32">
        <v>46355</v>
      </c>
      <c r="BN20" s="26"/>
      <c r="BO20" s="27"/>
      <c r="BP20" s="4"/>
      <c r="BQ20" s="36"/>
      <c r="BR20" s="22"/>
      <c r="BS20" s="32">
        <v>46385</v>
      </c>
      <c r="BT20" s="26"/>
    </row>
    <row r="21" spans="1:72" x14ac:dyDescent="0.25">
      <c r="A21" s="27"/>
      <c r="B21" s="4"/>
      <c r="C21" s="36"/>
      <c r="D21" s="22"/>
      <c r="E21" s="23">
        <v>46052</v>
      </c>
      <c r="F21" s="26"/>
      <c r="G21" s="27"/>
      <c r="H21" s="4"/>
      <c r="I21" s="36"/>
      <c r="J21" s="22">
        <f>3.14+16</f>
        <v>19.14</v>
      </c>
      <c r="K21" s="23">
        <v>46083</v>
      </c>
      <c r="L21" s="26" t="s">
        <v>57</v>
      </c>
      <c r="M21" s="27"/>
      <c r="N21" s="4"/>
      <c r="O21" s="36"/>
      <c r="P21" s="22"/>
      <c r="Q21" s="32">
        <v>46111</v>
      </c>
      <c r="R21" s="26"/>
      <c r="S21" s="27"/>
      <c r="T21" s="4"/>
      <c r="U21" s="36"/>
      <c r="V21" s="22">
        <f>13.84+16</f>
        <v>29.84</v>
      </c>
      <c r="W21" s="32">
        <v>46142</v>
      </c>
      <c r="X21" s="26" t="s">
        <v>62</v>
      </c>
      <c r="Y21" s="27"/>
      <c r="Z21" s="4"/>
      <c r="AA21" s="36"/>
      <c r="AB21" s="22">
        <v>3</v>
      </c>
      <c r="AC21" s="32">
        <v>46172</v>
      </c>
      <c r="AD21" s="26" t="s">
        <v>70</v>
      </c>
      <c r="AE21" s="27"/>
      <c r="AF21" s="4"/>
      <c r="AG21" s="36"/>
      <c r="AH21" s="22"/>
      <c r="AI21" s="32">
        <v>46203</v>
      </c>
      <c r="AJ21" s="26"/>
      <c r="AK21" s="27"/>
      <c r="AL21" s="4"/>
      <c r="AM21" s="36"/>
      <c r="AN21" s="22">
        <f>5.17+6.94+16</f>
        <v>28.11</v>
      </c>
      <c r="AO21" s="32">
        <v>46233</v>
      </c>
      <c r="AP21" s="26" t="s">
        <v>123</v>
      </c>
      <c r="AQ21" s="27"/>
      <c r="AR21" s="4"/>
      <c r="AS21" s="36"/>
      <c r="AT21" s="22"/>
      <c r="AU21" s="32">
        <v>46264</v>
      </c>
      <c r="AV21" s="26"/>
      <c r="AW21" s="27"/>
      <c r="AX21" s="4"/>
      <c r="AY21" s="36"/>
      <c r="AZ21" s="22"/>
      <c r="BA21" s="32">
        <v>46295</v>
      </c>
      <c r="BB21" s="26"/>
      <c r="BC21" s="27"/>
      <c r="BD21" s="4"/>
      <c r="BE21" s="36"/>
      <c r="BF21" s="22"/>
      <c r="BG21" s="32">
        <v>46325</v>
      </c>
      <c r="BH21" s="26"/>
      <c r="BI21" s="27"/>
      <c r="BJ21" s="4"/>
      <c r="BK21" s="36"/>
      <c r="BL21" s="22"/>
      <c r="BM21" s="32">
        <v>46356</v>
      </c>
      <c r="BN21" s="26"/>
      <c r="BO21" s="27"/>
      <c r="BP21" s="4"/>
      <c r="BQ21" s="36"/>
      <c r="BR21" s="22"/>
      <c r="BS21" s="32">
        <v>46386</v>
      </c>
      <c r="BT21" s="26"/>
    </row>
    <row r="22" spans="1:72" x14ac:dyDescent="0.25">
      <c r="A22" s="27"/>
      <c r="B22" s="4"/>
      <c r="C22" s="36"/>
      <c r="D22" s="22">
        <v>9.15</v>
      </c>
      <c r="E22" s="23">
        <v>46053</v>
      </c>
      <c r="F22" s="26" t="s">
        <v>72</v>
      </c>
      <c r="G22" s="27"/>
      <c r="H22" s="4"/>
      <c r="I22" s="36"/>
      <c r="J22" s="22"/>
      <c r="K22" s="23">
        <v>46084</v>
      </c>
      <c r="L22" s="26"/>
      <c r="M22" s="27"/>
      <c r="N22" s="4"/>
      <c r="O22" s="36"/>
      <c r="P22" s="22">
        <v>18.48</v>
      </c>
      <c r="Q22" s="32">
        <v>46112</v>
      </c>
      <c r="R22" s="26" t="s">
        <v>59</v>
      </c>
      <c r="S22" s="27"/>
      <c r="T22" s="4"/>
      <c r="U22" s="36"/>
      <c r="V22" s="22">
        <v>66.02</v>
      </c>
      <c r="W22" s="32">
        <v>46143</v>
      </c>
      <c r="X22" s="26" t="s">
        <v>62</v>
      </c>
      <c r="Y22" s="27"/>
      <c r="Z22" s="4"/>
      <c r="AA22" s="36"/>
      <c r="AB22" s="22"/>
      <c r="AC22" s="32">
        <v>46173</v>
      </c>
      <c r="AD22" s="26"/>
      <c r="AE22" s="27"/>
      <c r="AF22" s="4"/>
      <c r="AG22" s="36">
        <v>128</v>
      </c>
      <c r="AH22" s="22">
        <f>27.94+2.53+8+8</f>
        <v>46.47</v>
      </c>
      <c r="AI22" s="32">
        <v>46204</v>
      </c>
      <c r="AJ22" s="26" t="s">
        <v>111</v>
      </c>
      <c r="AK22" s="27"/>
      <c r="AL22" s="4"/>
      <c r="AM22" s="36"/>
      <c r="AN22" s="22">
        <v>6.59</v>
      </c>
      <c r="AO22" s="32">
        <v>46234</v>
      </c>
      <c r="AP22" s="26" t="s">
        <v>62</v>
      </c>
      <c r="AQ22" s="27"/>
      <c r="AR22" s="4"/>
      <c r="AS22" s="36"/>
      <c r="AT22" s="22">
        <v>17.54</v>
      </c>
      <c r="AU22" s="32">
        <v>46265</v>
      </c>
      <c r="AV22" s="26" t="s">
        <v>129</v>
      </c>
      <c r="AW22" s="27"/>
      <c r="AX22" s="4"/>
      <c r="AY22" s="36"/>
      <c r="AZ22" s="22"/>
      <c r="BA22" s="32">
        <v>46296</v>
      </c>
      <c r="BB22" s="26"/>
      <c r="BC22" s="27"/>
      <c r="BD22" s="4"/>
      <c r="BE22" s="36"/>
      <c r="BF22" s="22"/>
      <c r="BG22" s="32">
        <v>46326</v>
      </c>
      <c r="BH22" s="26"/>
      <c r="BI22" s="27"/>
      <c r="BJ22" s="4"/>
      <c r="BK22" s="36"/>
      <c r="BL22" s="22"/>
      <c r="BM22" s="32">
        <v>46357</v>
      </c>
      <c r="BN22" s="26"/>
      <c r="BO22" s="27"/>
      <c r="BP22" s="4"/>
      <c r="BQ22" s="36"/>
      <c r="BR22" s="22"/>
      <c r="BS22" s="32">
        <v>46387</v>
      </c>
      <c r="BT22" s="26"/>
    </row>
    <row r="23" spans="1:72" x14ac:dyDescent="0.25">
      <c r="A23" s="27"/>
      <c r="B23" s="4"/>
      <c r="C23" s="35"/>
      <c r="D23" s="24"/>
      <c r="E23" s="23">
        <v>46054</v>
      </c>
      <c r="F23" s="26"/>
      <c r="G23" s="27"/>
      <c r="H23" s="4"/>
      <c r="I23" s="36"/>
      <c r="J23" s="22">
        <v>151</v>
      </c>
      <c r="K23" s="23">
        <v>46085</v>
      </c>
      <c r="L23" s="26" t="s">
        <v>63</v>
      </c>
      <c r="M23" s="27"/>
      <c r="N23" s="4"/>
      <c r="O23" s="35"/>
      <c r="P23" s="24"/>
      <c r="Q23" s="32">
        <v>46113</v>
      </c>
      <c r="R23" s="26"/>
      <c r="S23" s="27"/>
      <c r="T23" s="4"/>
      <c r="U23" s="35"/>
      <c r="V23" s="22">
        <v>20.61</v>
      </c>
      <c r="W23" s="32">
        <v>46144</v>
      </c>
      <c r="X23" s="26" t="s">
        <v>62</v>
      </c>
      <c r="Y23" s="27"/>
      <c r="Z23" s="4"/>
      <c r="AA23" s="35"/>
      <c r="AB23" s="24"/>
      <c r="AC23" s="32">
        <v>46174</v>
      </c>
      <c r="AD23" s="26"/>
      <c r="AE23" s="27"/>
      <c r="AF23" s="4"/>
      <c r="AG23" s="35"/>
      <c r="AH23" s="22">
        <f>10.32+66.04+7.59+32</f>
        <v>115.95000000000002</v>
      </c>
      <c r="AI23" s="32">
        <v>46205</v>
      </c>
      <c r="AJ23" s="26" t="s">
        <v>112</v>
      </c>
      <c r="AK23" s="27"/>
      <c r="AL23" s="4"/>
      <c r="AM23" s="35"/>
      <c r="AN23" s="24"/>
      <c r="AO23" s="32">
        <v>46235</v>
      </c>
      <c r="AP23" s="26"/>
      <c r="AQ23" s="27"/>
      <c r="AR23" s="4"/>
      <c r="AS23" s="36"/>
      <c r="AT23" s="22">
        <v>12.46</v>
      </c>
      <c r="AU23" s="32">
        <v>46266</v>
      </c>
      <c r="AV23" s="26" t="s">
        <v>57</v>
      </c>
      <c r="AW23" s="27"/>
      <c r="AX23" s="4"/>
      <c r="AY23" s="35"/>
      <c r="AZ23" s="24"/>
      <c r="BA23" s="32">
        <v>46297</v>
      </c>
      <c r="BB23" s="26"/>
      <c r="BC23" s="27"/>
      <c r="BD23" s="4"/>
      <c r="BE23" s="35"/>
      <c r="BF23" s="24"/>
      <c r="BG23" s="32">
        <v>46327</v>
      </c>
      <c r="BH23" s="26"/>
      <c r="BI23" s="27"/>
      <c r="BJ23" s="4"/>
      <c r="BK23" s="35"/>
      <c r="BL23" s="24"/>
      <c r="BM23" s="32">
        <v>46358</v>
      </c>
      <c r="BN23" s="26"/>
      <c r="BO23" s="27"/>
      <c r="BP23" s="4"/>
      <c r="BQ23" s="35"/>
      <c r="BR23" s="24"/>
      <c r="BS23" s="32">
        <v>46388</v>
      </c>
      <c r="BT23" s="26"/>
    </row>
    <row r="24" spans="1:72" x14ac:dyDescent="0.25">
      <c r="A24" s="27"/>
      <c r="B24" s="4"/>
      <c r="C24" s="35"/>
      <c r="D24" s="22">
        <v>10.89</v>
      </c>
      <c r="E24" s="23">
        <v>46055</v>
      </c>
      <c r="F24" s="26" t="s">
        <v>57</v>
      </c>
      <c r="G24" s="27"/>
      <c r="H24" s="4"/>
      <c r="I24" s="36"/>
      <c r="J24" s="22"/>
      <c r="K24" s="23">
        <v>46086</v>
      </c>
      <c r="L24" s="26"/>
      <c r="M24" s="27"/>
      <c r="N24" s="4"/>
      <c r="O24" s="35"/>
      <c r="P24" s="22">
        <v>31.86</v>
      </c>
      <c r="Q24" s="32">
        <v>46114</v>
      </c>
      <c r="R24" s="26" t="s">
        <v>59</v>
      </c>
      <c r="S24" s="27"/>
      <c r="T24" s="4"/>
      <c r="U24" s="35"/>
      <c r="V24" s="22">
        <v>14.46</v>
      </c>
      <c r="W24" s="32">
        <v>46145</v>
      </c>
      <c r="X24" s="26" t="s">
        <v>59</v>
      </c>
      <c r="Y24" s="27"/>
      <c r="Z24" s="4"/>
      <c r="AA24" s="35"/>
      <c r="AB24" s="22"/>
      <c r="AC24" s="32">
        <v>46175</v>
      </c>
      <c r="AD24" s="26"/>
      <c r="AE24" s="27"/>
      <c r="AF24" s="4"/>
      <c r="AG24" s="35"/>
      <c r="AH24" s="22"/>
      <c r="AI24" s="32">
        <v>46206</v>
      </c>
      <c r="AJ24" s="26"/>
      <c r="AK24" s="27"/>
      <c r="AL24" s="4"/>
      <c r="AM24" s="35"/>
      <c r="AN24" s="22"/>
      <c r="AO24" s="32">
        <v>46236</v>
      </c>
      <c r="AP24" s="26"/>
      <c r="AQ24" s="27"/>
      <c r="AR24" s="4"/>
      <c r="AS24" s="36"/>
      <c r="AT24" s="22">
        <f>5.85+28.44</f>
        <v>34.29</v>
      </c>
      <c r="AU24" s="32">
        <v>46267</v>
      </c>
      <c r="AV24" s="26" t="s">
        <v>130</v>
      </c>
      <c r="AW24" s="27"/>
      <c r="AX24" s="4"/>
      <c r="AY24" s="35"/>
      <c r="AZ24" s="22"/>
      <c r="BA24" s="32">
        <v>46298</v>
      </c>
      <c r="BB24" s="26"/>
      <c r="BC24" s="27"/>
      <c r="BD24" s="4"/>
      <c r="BE24" s="35"/>
      <c r="BF24" s="22"/>
      <c r="BG24" s="32">
        <v>46328</v>
      </c>
      <c r="BH24" s="26"/>
      <c r="BI24" s="27"/>
      <c r="BJ24" s="4"/>
      <c r="BK24" s="35"/>
      <c r="BL24" s="22"/>
      <c r="BM24" s="32">
        <v>46359</v>
      </c>
      <c r="BN24" s="26"/>
      <c r="BO24" s="27"/>
      <c r="BP24" s="4"/>
      <c r="BQ24" s="35"/>
      <c r="BR24" s="22"/>
      <c r="BS24" s="32">
        <v>46389</v>
      </c>
      <c r="BT24" s="26"/>
    </row>
    <row r="25" spans="1:72" x14ac:dyDescent="0.25">
      <c r="A25" s="27"/>
      <c r="B25" s="4"/>
      <c r="C25" s="35"/>
      <c r="D25" s="22">
        <v>22.94</v>
      </c>
      <c r="E25" s="23">
        <v>46056</v>
      </c>
      <c r="F25" s="26" t="s">
        <v>57</v>
      </c>
      <c r="G25" s="27"/>
      <c r="H25" s="4"/>
      <c r="I25" s="36"/>
      <c r="J25" s="22"/>
      <c r="K25" s="23">
        <v>46087</v>
      </c>
      <c r="L25" s="26"/>
      <c r="M25" s="27"/>
      <c r="N25" s="4"/>
      <c r="O25" s="35"/>
      <c r="P25" s="22">
        <f>24+1.42</f>
        <v>25.42</v>
      </c>
      <c r="Q25" s="32">
        <v>46115</v>
      </c>
      <c r="R25" s="26" t="s">
        <v>57</v>
      </c>
      <c r="S25" s="27"/>
      <c r="T25" s="4"/>
      <c r="U25" s="36">
        <v>200</v>
      </c>
      <c r="V25" s="22"/>
      <c r="W25" s="32">
        <v>46146</v>
      </c>
      <c r="X25" s="26"/>
      <c r="Y25" s="27"/>
      <c r="Z25" s="4"/>
      <c r="AA25" s="35"/>
      <c r="AB25" s="22"/>
      <c r="AC25" s="32">
        <v>46176</v>
      </c>
      <c r="AD25" s="26"/>
      <c r="AE25" s="27"/>
      <c r="AF25" s="4"/>
      <c r="AG25" s="35"/>
      <c r="AH25" s="22"/>
      <c r="AI25" s="32">
        <v>46207</v>
      </c>
      <c r="AJ25" s="26"/>
      <c r="AK25" s="27"/>
      <c r="AL25" s="4"/>
      <c r="AM25" s="35"/>
      <c r="AN25" s="22">
        <v>12.01</v>
      </c>
      <c r="AO25" s="32">
        <v>46237</v>
      </c>
      <c r="AP25" s="26" t="s">
        <v>57</v>
      </c>
      <c r="AQ25" s="27"/>
      <c r="AR25" s="4"/>
      <c r="AS25" s="36"/>
      <c r="AT25" s="22"/>
      <c r="AU25" s="32">
        <v>46268</v>
      </c>
      <c r="AV25" s="26"/>
      <c r="AW25" s="27"/>
      <c r="AX25" s="4"/>
      <c r="AY25" s="35"/>
      <c r="AZ25" s="22"/>
      <c r="BA25" s="32">
        <v>46299</v>
      </c>
      <c r="BB25" s="26"/>
      <c r="BC25" s="27"/>
      <c r="BD25" s="4"/>
      <c r="BE25" s="35"/>
      <c r="BF25" s="22"/>
      <c r="BG25" s="32">
        <v>46329</v>
      </c>
      <c r="BH25" s="26"/>
      <c r="BI25" s="27"/>
      <c r="BJ25" s="4"/>
      <c r="BK25" s="35"/>
      <c r="BL25" s="22"/>
      <c r="BM25" s="32">
        <v>46360</v>
      </c>
      <c r="BN25" s="26"/>
      <c r="BO25" s="27"/>
      <c r="BP25" s="4"/>
      <c r="BQ25" s="35"/>
      <c r="BR25" s="22"/>
      <c r="BS25" s="32">
        <v>46390</v>
      </c>
      <c r="BT25" s="26"/>
    </row>
    <row r="26" spans="1:72" x14ac:dyDescent="0.25">
      <c r="A26" s="27"/>
      <c r="B26" s="4"/>
      <c r="C26" s="35"/>
      <c r="D26" s="22"/>
      <c r="E26" s="23">
        <v>46057</v>
      </c>
      <c r="F26" s="26"/>
      <c r="G26" s="27"/>
      <c r="H26" s="4"/>
      <c r="I26" s="36"/>
      <c r="J26" s="22"/>
      <c r="K26" s="23">
        <v>46088</v>
      </c>
      <c r="L26" s="26"/>
      <c r="M26" s="27"/>
      <c r="N26" s="4"/>
      <c r="O26" s="35"/>
      <c r="P26" s="22">
        <v>23.98</v>
      </c>
      <c r="Q26" s="32">
        <v>46116</v>
      </c>
      <c r="R26" s="26" t="s">
        <v>59</v>
      </c>
      <c r="S26" s="27"/>
      <c r="T26" s="4"/>
      <c r="U26" s="35"/>
      <c r="V26" s="22"/>
      <c r="W26" s="32">
        <v>46147</v>
      </c>
      <c r="X26" s="26"/>
      <c r="Y26" s="27"/>
      <c r="Z26" s="4"/>
      <c r="AA26" s="35"/>
      <c r="AB26" s="22">
        <f>8+6.71</f>
        <v>14.71</v>
      </c>
      <c r="AC26" s="32">
        <v>46177</v>
      </c>
      <c r="AD26" s="26" t="s">
        <v>57</v>
      </c>
      <c r="AE26" s="27"/>
      <c r="AF26" s="4"/>
      <c r="AG26" s="35"/>
      <c r="AH26" s="22"/>
      <c r="AI26" s="32">
        <v>46208</v>
      </c>
      <c r="AJ26" s="26"/>
      <c r="AK26" s="27"/>
      <c r="AL26" s="4"/>
      <c r="AM26" s="35"/>
      <c r="AN26" s="22"/>
      <c r="AO26" s="32">
        <v>46238</v>
      </c>
      <c r="AP26" s="26"/>
      <c r="AQ26" s="27"/>
      <c r="AR26" s="4"/>
      <c r="AS26" s="36"/>
      <c r="AT26" s="22">
        <v>5.51</v>
      </c>
      <c r="AU26" s="32">
        <v>46269</v>
      </c>
      <c r="AV26" s="26" t="s">
        <v>57</v>
      </c>
      <c r="AW26" s="27"/>
      <c r="AX26" s="4"/>
      <c r="AY26" s="35"/>
      <c r="AZ26" s="22"/>
      <c r="BA26" s="32">
        <v>46300</v>
      </c>
      <c r="BB26" s="26"/>
      <c r="BC26" s="27"/>
      <c r="BD26" s="4"/>
      <c r="BE26" s="35"/>
      <c r="BF26" s="22"/>
      <c r="BG26" s="32">
        <v>46330</v>
      </c>
      <c r="BH26" s="26"/>
      <c r="BI26" s="27"/>
      <c r="BJ26" s="4"/>
      <c r="BK26" s="35"/>
      <c r="BL26" s="22"/>
      <c r="BM26" s="32">
        <v>46361</v>
      </c>
      <c r="BN26" s="26"/>
      <c r="BO26" s="27"/>
      <c r="BP26" s="4"/>
      <c r="BQ26" s="35"/>
      <c r="BR26" s="22"/>
      <c r="BS26" s="32">
        <v>46391</v>
      </c>
      <c r="BT26" s="26"/>
    </row>
    <row r="27" spans="1:72" x14ac:dyDescent="0.25">
      <c r="A27" s="27"/>
      <c r="B27" s="4"/>
      <c r="C27" s="35"/>
      <c r="D27" s="22">
        <v>70.16</v>
      </c>
      <c r="E27" s="23">
        <v>46058</v>
      </c>
      <c r="F27" s="26" t="s">
        <v>59</v>
      </c>
      <c r="G27" s="27"/>
      <c r="H27" s="4"/>
      <c r="I27" s="36"/>
      <c r="J27" s="22">
        <v>20.87</v>
      </c>
      <c r="K27" s="23">
        <v>46089</v>
      </c>
      <c r="L27" s="26" t="s">
        <v>65</v>
      </c>
      <c r="M27" s="27"/>
      <c r="N27" s="4"/>
      <c r="O27" s="35"/>
      <c r="P27" s="22"/>
      <c r="Q27" s="32">
        <v>46117</v>
      </c>
      <c r="R27" s="26"/>
      <c r="S27" s="27"/>
      <c r="T27" s="4"/>
      <c r="U27" s="35"/>
      <c r="V27" s="22">
        <v>10.73</v>
      </c>
      <c r="W27" s="32">
        <v>46148</v>
      </c>
      <c r="X27" s="26" t="s">
        <v>65</v>
      </c>
      <c r="Y27" s="27"/>
      <c r="Z27" s="4"/>
      <c r="AA27" s="35"/>
      <c r="AB27" s="22"/>
      <c r="AC27" s="32">
        <v>46178</v>
      </c>
      <c r="AD27" s="26"/>
      <c r="AE27" s="27"/>
      <c r="AF27" s="4"/>
      <c r="AG27" s="35"/>
      <c r="AH27" s="22"/>
      <c r="AI27" s="32">
        <v>46209</v>
      </c>
      <c r="AJ27" s="26"/>
      <c r="AK27" s="27"/>
      <c r="AL27" s="4"/>
      <c r="AM27" s="35"/>
      <c r="AN27" s="22">
        <v>11.57</v>
      </c>
      <c r="AO27" s="32">
        <v>46239</v>
      </c>
      <c r="AP27" s="26" t="s">
        <v>57</v>
      </c>
      <c r="AQ27" s="27"/>
      <c r="AR27" s="4"/>
      <c r="AS27" s="36">
        <v>112</v>
      </c>
      <c r="AT27" s="22"/>
      <c r="AU27" s="32">
        <v>46270</v>
      </c>
      <c r="AV27" s="26"/>
      <c r="AW27" s="27"/>
      <c r="AX27" s="4"/>
      <c r="AY27" s="35"/>
      <c r="AZ27" s="22"/>
      <c r="BA27" s="32">
        <v>46301</v>
      </c>
      <c r="BB27" s="26"/>
      <c r="BC27" s="27"/>
      <c r="BD27" s="4"/>
      <c r="BE27" s="35"/>
      <c r="BF27" s="22"/>
      <c r="BG27" s="32">
        <v>46331</v>
      </c>
      <c r="BH27" s="26"/>
      <c r="BI27" s="27"/>
      <c r="BJ27" s="4"/>
      <c r="BK27" s="35"/>
      <c r="BL27" s="22"/>
      <c r="BM27" s="32">
        <v>46362</v>
      </c>
      <c r="BN27" s="26"/>
      <c r="BO27" s="27"/>
      <c r="BP27" s="4"/>
      <c r="BQ27" s="35"/>
      <c r="BR27" s="22"/>
      <c r="BS27" s="32">
        <v>46392</v>
      </c>
      <c r="BT27" s="26"/>
    </row>
    <row r="28" spans="1:72" x14ac:dyDescent="0.25">
      <c r="A28" s="27"/>
      <c r="B28" s="4"/>
      <c r="C28" s="35"/>
      <c r="D28" s="22"/>
      <c r="E28" s="23">
        <v>46059</v>
      </c>
      <c r="F28" s="26"/>
      <c r="G28" s="27"/>
      <c r="H28" s="4"/>
      <c r="I28" s="36"/>
      <c r="J28" s="22"/>
      <c r="K28" s="23">
        <v>46090</v>
      </c>
      <c r="L28" s="26"/>
      <c r="M28" s="27"/>
      <c r="N28" s="4"/>
      <c r="O28" s="35"/>
      <c r="P28" s="22"/>
      <c r="Q28" s="32">
        <v>46118</v>
      </c>
      <c r="R28" s="26"/>
      <c r="S28" s="27"/>
      <c r="T28" s="4"/>
      <c r="U28" s="35"/>
      <c r="V28" s="22">
        <v>24.52</v>
      </c>
      <c r="W28" s="32">
        <v>46149</v>
      </c>
      <c r="X28" s="26" t="s">
        <v>59</v>
      </c>
      <c r="Y28" s="27"/>
      <c r="Z28" s="4"/>
      <c r="AA28" s="35"/>
      <c r="AB28" s="22"/>
      <c r="AC28" s="32">
        <v>46179</v>
      </c>
      <c r="AD28" s="26"/>
      <c r="AE28" s="27"/>
      <c r="AF28" s="4"/>
      <c r="AG28" s="35"/>
      <c r="AH28" s="22"/>
      <c r="AI28" s="32">
        <v>46210</v>
      </c>
      <c r="AJ28" s="26"/>
      <c r="AK28" s="27"/>
      <c r="AL28" s="4"/>
      <c r="AM28" s="35"/>
      <c r="AN28" s="22"/>
      <c r="AO28" s="32">
        <v>46240</v>
      </c>
      <c r="AP28" s="26"/>
      <c r="AQ28" s="27"/>
      <c r="AR28" s="4"/>
      <c r="AS28" s="36"/>
      <c r="AT28" s="22"/>
      <c r="AU28" s="32">
        <v>46271</v>
      </c>
      <c r="AV28" s="26"/>
      <c r="AW28" s="27"/>
      <c r="AX28" s="4"/>
      <c r="AY28" s="35"/>
      <c r="AZ28" s="22"/>
      <c r="BA28" s="32">
        <v>46302</v>
      </c>
      <c r="BB28" s="26"/>
      <c r="BC28" s="27"/>
      <c r="BD28" s="4"/>
      <c r="BE28" s="35"/>
      <c r="BF28" s="22"/>
      <c r="BG28" s="32">
        <v>46332</v>
      </c>
      <c r="BH28" s="26"/>
      <c r="BI28" s="27"/>
      <c r="BJ28" s="4"/>
      <c r="BK28" s="35"/>
      <c r="BL28" s="22"/>
      <c r="BM28" s="32">
        <v>46363</v>
      </c>
      <c r="BN28" s="26"/>
      <c r="BO28" s="27"/>
      <c r="BP28" s="4"/>
      <c r="BQ28" s="35"/>
      <c r="BR28" s="22"/>
      <c r="BS28" s="32">
        <v>46393</v>
      </c>
      <c r="BT28" s="26"/>
    </row>
    <row r="29" spans="1:72" x14ac:dyDescent="0.25">
      <c r="A29" s="27"/>
      <c r="B29" s="4"/>
      <c r="C29" s="35"/>
      <c r="D29" s="22"/>
      <c r="E29" s="23">
        <v>46060</v>
      </c>
      <c r="F29" s="26"/>
      <c r="G29" s="27"/>
      <c r="H29" s="4"/>
      <c r="I29" s="36"/>
      <c r="J29" s="22"/>
      <c r="K29" s="23">
        <v>46091</v>
      </c>
      <c r="L29" s="26"/>
      <c r="M29" s="27"/>
      <c r="N29" s="4"/>
      <c r="O29" s="35"/>
      <c r="P29" s="22"/>
      <c r="Q29" s="32">
        <v>46119</v>
      </c>
      <c r="R29" s="26"/>
      <c r="S29" s="27"/>
      <c r="T29" s="4"/>
      <c r="U29" s="35"/>
      <c r="V29" s="22"/>
      <c r="W29" s="32">
        <v>46150</v>
      </c>
      <c r="X29" s="26"/>
      <c r="Y29" s="27"/>
      <c r="Z29" s="4"/>
      <c r="AA29" s="35"/>
      <c r="AB29" s="22"/>
      <c r="AC29" s="32">
        <v>46180</v>
      </c>
      <c r="AD29" s="26"/>
      <c r="AE29" s="27"/>
      <c r="AF29" s="4"/>
      <c r="AG29" s="35"/>
      <c r="AH29" s="22"/>
      <c r="AI29" s="32">
        <v>46211</v>
      </c>
      <c r="AJ29" s="26"/>
      <c r="AK29" s="27"/>
      <c r="AL29" s="4"/>
      <c r="AM29" s="35"/>
      <c r="AN29" s="22"/>
      <c r="AO29" s="32">
        <v>46241</v>
      </c>
      <c r="AP29" s="26"/>
      <c r="AQ29" s="27"/>
      <c r="AR29" s="4"/>
      <c r="AS29" s="36"/>
      <c r="AT29" s="22"/>
      <c r="AU29" s="32">
        <v>46272</v>
      </c>
      <c r="AV29" s="26"/>
      <c r="AW29" s="27"/>
      <c r="AX29" s="4"/>
      <c r="AY29" s="35"/>
      <c r="AZ29" s="22"/>
      <c r="BA29" s="32">
        <v>46303</v>
      </c>
      <c r="BB29" s="26"/>
      <c r="BC29" s="27"/>
      <c r="BD29" s="4"/>
      <c r="BE29" s="35"/>
      <c r="BF29" s="22"/>
      <c r="BG29" s="32">
        <v>46333</v>
      </c>
      <c r="BH29" s="26"/>
      <c r="BI29" s="27"/>
      <c r="BJ29" s="4"/>
      <c r="BK29" s="35"/>
      <c r="BL29" s="22"/>
      <c r="BM29" s="32">
        <v>46364</v>
      </c>
      <c r="BN29" s="26"/>
      <c r="BO29" s="27"/>
      <c r="BP29" s="4"/>
      <c r="BQ29" s="35"/>
      <c r="BR29" s="22"/>
      <c r="BS29" s="32">
        <v>46394</v>
      </c>
      <c r="BT29" s="26"/>
    </row>
    <row r="30" spans="1:72" x14ac:dyDescent="0.25">
      <c r="A30" s="27"/>
      <c r="B30" s="4"/>
      <c r="C30" s="35"/>
      <c r="D30" s="22"/>
      <c r="E30" s="23">
        <v>46061</v>
      </c>
      <c r="F30" s="26"/>
      <c r="G30" s="27"/>
      <c r="H30" s="4"/>
      <c r="I30" s="36"/>
      <c r="J30" s="22">
        <v>12.81</v>
      </c>
      <c r="K30" s="23">
        <v>46092</v>
      </c>
      <c r="L30" s="26" t="s">
        <v>73</v>
      </c>
      <c r="M30" s="27"/>
      <c r="N30" s="4"/>
      <c r="O30" s="35"/>
      <c r="P30" s="22">
        <v>17.71</v>
      </c>
      <c r="Q30" s="32">
        <v>46120</v>
      </c>
      <c r="R30" s="26" t="s">
        <v>57</v>
      </c>
      <c r="S30" s="27"/>
      <c r="T30" s="4"/>
      <c r="U30" s="35"/>
      <c r="V30" s="22"/>
      <c r="W30" s="32">
        <v>46151</v>
      </c>
      <c r="X30" s="26"/>
      <c r="Y30" s="27"/>
      <c r="Z30" s="4"/>
      <c r="AA30" s="35"/>
      <c r="AB30" s="22"/>
      <c r="AC30" s="32">
        <v>46181</v>
      </c>
      <c r="AD30" s="26"/>
      <c r="AE30" s="27"/>
      <c r="AF30" s="4"/>
      <c r="AG30" s="35"/>
      <c r="AH30" s="22"/>
      <c r="AI30" s="32">
        <v>46212</v>
      </c>
      <c r="AJ30" s="26"/>
      <c r="AK30" s="27"/>
      <c r="AL30" s="4"/>
      <c r="AM30" s="35"/>
      <c r="AN30" s="22"/>
      <c r="AO30" s="32">
        <v>46242</v>
      </c>
      <c r="AP30" s="26"/>
      <c r="AQ30" s="27"/>
      <c r="AR30" s="4"/>
      <c r="AS30" s="36"/>
      <c r="AT30" s="22"/>
      <c r="AU30" s="32">
        <v>46273</v>
      </c>
      <c r="AV30" s="26"/>
      <c r="AW30" s="27"/>
      <c r="AX30" s="4"/>
      <c r="AY30" s="35"/>
      <c r="AZ30" s="22"/>
      <c r="BA30" s="32">
        <v>46304</v>
      </c>
      <c r="BB30" s="26"/>
      <c r="BC30" s="27"/>
      <c r="BD30" s="4"/>
      <c r="BE30" s="35"/>
      <c r="BF30" s="22"/>
      <c r="BG30" s="32">
        <v>46334</v>
      </c>
      <c r="BH30" s="26"/>
      <c r="BI30" s="27"/>
      <c r="BJ30" s="4"/>
      <c r="BK30" s="35"/>
      <c r="BL30" s="22"/>
      <c r="BM30" s="32">
        <v>46365</v>
      </c>
      <c r="BN30" s="26"/>
      <c r="BO30" s="27"/>
      <c r="BP30" s="4"/>
      <c r="BQ30" s="35"/>
      <c r="BR30" s="22"/>
      <c r="BS30" s="32">
        <v>46395</v>
      </c>
      <c r="BT30" s="26"/>
    </row>
    <row r="31" spans="1:72" x14ac:dyDescent="0.25">
      <c r="A31" s="27"/>
      <c r="B31" s="4"/>
      <c r="C31" s="35"/>
      <c r="D31" s="22">
        <v>27.14</v>
      </c>
      <c r="E31" s="23">
        <v>46062</v>
      </c>
      <c r="F31" s="26" t="s">
        <v>59</v>
      </c>
      <c r="G31" s="27"/>
      <c r="H31" s="4"/>
      <c r="I31" s="36"/>
      <c r="J31" s="22">
        <v>9.94</v>
      </c>
      <c r="K31" s="23">
        <v>46093</v>
      </c>
      <c r="L31" s="26" t="s">
        <v>72</v>
      </c>
      <c r="M31" s="27"/>
      <c r="N31" s="4"/>
      <c r="O31" s="35"/>
      <c r="P31" s="24"/>
      <c r="Q31" s="32">
        <v>46121</v>
      </c>
      <c r="R31" s="26"/>
      <c r="S31" s="27"/>
      <c r="T31" s="4"/>
      <c r="U31" s="35"/>
      <c r="V31" s="22"/>
      <c r="W31" s="32">
        <v>46152</v>
      </c>
      <c r="X31" s="26"/>
      <c r="Y31" s="27"/>
      <c r="Z31" s="4"/>
      <c r="AA31" s="36">
        <v>200</v>
      </c>
      <c r="AB31" s="24">
        <v>34.200000000000003</v>
      </c>
      <c r="AC31" s="32">
        <v>46182</v>
      </c>
      <c r="AD31" s="26" t="s">
        <v>65</v>
      </c>
      <c r="AE31" s="27"/>
      <c r="AF31" s="4"/>
      <c r="AG31" s="35"/>
      <c r="AH31" s="22"/>
      <c r="AI31" s="32">
        <v>46213</v>
      </c>
      <c r="AJ31" s="26"/>
      <c r="AK31" s="27"/>
      <c r="AL31" s="4"/>
      <c r="AM31" s="35"/>
      <c r="AN31" s="22">
        <f>12.84+32</f>
        <v>44.84</v>
      </c>
      <c r="AO31" s="32">
        <v>46243</v>
      </c>
      <c r="AP31" s="26" t="s">
        <v>63</v>
      </c>
      <c r="AQ31" s="27"/>
      <c r="AR31" s="4"/>
      <c r="AS31" s="36"/>
      <c r="AT31" s="22"/>
      <c r="AU31" s="32">
        <v>46274</v>
      </c>
      <c r="AV31" s="26"/>
      <c r="AW31" s="27"/>
      <c r="AX31" s="4"/>
      <c r="AY31" s="35"/>
      <c r="AZ31" s="24"/>
      <c r="BA31" s="32">
        <v>46305</v>
      </c>
      <c r="BB31" s="26"/>
      <c r="BC31" s="27"/>
      <c r="BD31" s="4"/>
      <c r="BE31" s="35"/>
      <c r="BF31" s="24"/>
      <c r="BG31" s="32">
        <v>46335</v>
      </c>
      <c r="BH31" s="26"/>
      <c r="BI31" s="27"/>
      <c r="BJ31" s="4"/>
      <c r="BK31" s="35"/>
      <c r="BL31" s="24"/>
      <c r="BM31" s="32">
        <v>46366</v>
      </c>
      <c r="BN31" s="26"/>
      <c r="BO31" s="27"/>
      <c r="BP31" s="4"/>
      <c r="BQ31" s="35"/>
      <c r="BR31" s="24"/>
      <c r="BS31" s="32">
        <v>46396</v>
      </c>
      <c r="BT31" s="26"/>
    </row>
    <row r="32" spans="1:72" x14ac:dyDescent="0.25">
      <c r="A32" s="27"/>
      <c r="B32" s="4"/>
      <c r="C32" s="35"/>
      <c r="D32" s="22">
        <f>32.37+1.92+8</f>
        <v>42.29</v>
      </c>
      <c r="E32" s="23">
        <v>46063</v>
      </c>
      <c r="F32" s="26" t="s">
        <v>57</v>
      </c>
      <c r="G32" s="27"/>
      <c r="H32" s="4"/>
      <c r="I32" s="36"/>
      <c r="J32" s="22">
        <v>32</v>
      </c>
      <c r="K32" s="23">
        <v>46094</v>
      </c>
      <c r="L32" s="43" t="s">
        <v>74</v>
      </c>
      <c r="M32" s="27"/>
      <c r="N32" s="4"/>
      <c r="O32" s="35"/>
      <c r="P32" s="24"/>
      <c r="Q32" s="32">
        <v>46122</v>
      </c>
      <c r="R32" s="26"/>
      <c r="S32" s="27"/>
      <c r="T32" s="4"/>
      <c r="U32" s="35"/>
      <c r="V32" s="22">
        <v>8.6</v>
      </c>
      <c r="W32" s="32">
        <v>46153</v>
      </c>
      <c r="X32" s="26" t="s">
        <v>57</v>
      </c>
      <c r="Y32" s="27"/>
      <c r="Z32" s="4"/>
      <c r="AA32" s="35"/>
      <c r="AB32" s="24"/>
      <c r="AC32" s="32">
        <v>46183</v>
      </c>
      <c r="AD32" s="26"/>
      <c r="AE32" s="27"/>
      <c r="AF32" s="4"/>
      <c r="AG32" s="35"/>
      <c r="AH32" s="22"/>
      <c r="AI32" s="32">
        <v>46214</v>
      </c>
      <c r="AJ32" s="26"/>
      <c r="AK32" s="27"/>
      <c r="AL32" s="4"/>
      <c r="AM32" s="35"/>
      <c r="AN32" s="24"/>
      <c r="AO32" s="32">
        <v>46244</v>
      </c>
      <c r="AP32" s="26"/>
      <c r="AQ32" s="27"/>
      <c r="AR32" s="4"/>
      <c r="AS32" s="36"/>
      <c r="AT32" s="22"/>
      <c r="AU32" s="32">
        <v>46275</v>
      </c>
      <c r="AV32" s="26"/>
      <c r="AW32" s="27"/>
      <c r="AX32" s="4"/>
      <c r="AY32" s="35"/>
      <c r="AZ32" s="24"/>
      <c r="BA32" s="32">
        <v>46306</v>
      </c>
      <c r="BB32" s="26"/>
      <c r="BC32" s="27"/>
      <c r="BD32" s="4"/>
      <c r="BE32" s="35"/>
      <c r="BF32" s="24"/>
      <c r="BG32" s="32">
        <v>46336</v>
      </c>
      <c r="BH32" s="26"/>
      <c r="BI32" s="27"/>
      <c r="BJ32" s="4"/>
      <c r="BK32" s="35"/>
      <c r="BL32" s="24"/>
      <c r="BM32" s="32">
        <v>46367</v>
      </c>
      <c r="BN32" s="26"/>
      <c r="BO32" s="27"/>
      <c r="BP32" s="4"/>
      <c r="BQ32" s="35"/>
      <c r="BR32" s="24"/>
      <c r="BS32" s="32">
        <v>46397</v>
      </c>
      <c r="BT32" s="26"/>
    </row>
    <row r="33" spans="1:77" x14ac:dyDescent="0.25">
      <c r="A33" s="27"/>
      <c r="B33" s="4"/>
      <c r="C33" s="35"/>
      <c r="D33" s="22"/>
      <c r="E33" s="23">
        <v>46064</v>
      </c>
      <c r="F33" s="26"/>
      <c r="G33" s="27"/>
      <c r="H33" s="4"/>
      <c r="I33" s="36"/>
      <c r="J33" s="22">
        <v>19.18</v>
      </c>
      <c r="K33" s="23">
        <v>46095</v>
      </c>
      <c r="L33" s="26" t="s">
        <v>65</v>
      </c>
      <c r="M33" s="27"/>
      <c r="N33" s="4"/>
      <c r="O33" s="35"/>
      <c r="P33" s="24"/>
      <c r="Q33" s="32">
        <v>46123</v>
      </c>
      <c r="R33" s="26"/>
      <c r="S33" s="27"/>
      <c r="T33" s="4"/>
      <c r="U33" s="35"/>
      <c r="V33" s="22">
        <f>2.52+40.52</f>
        <v>43.040000000000006</v>
      </c>
      <c r="W33" s="32">
        <v>46154</v>
      </c>
      <c r="X33" s="26" t="s">
        <v>75</v>
      </c>
      <c r="Y33" s="27"/>
      <c r="Z33" s="4"/>
      <c r="AA33" s="35"/>
      <c r="AB33" s="24">
        <v>19.64</v>
      </c>
      <c r="AC33" s="32">
        <v>46184</v>
      </c>
      <c r="AD33" s="26" t="s">
        <v>65</v>
      </c>
      <c r="AE33" s="27"/>
      <c r="AF33" s="4"/>
      <c r="AG33" s="36"/>
      <c r="AH33" s="22"/>
      <c r="AI33" s="32">
        <v>46215</v>
      </c>
      <c r="AJ33" s="26"/>
      <c r="AK33" s="27"/>
      <c r="AL33" s="4"/>
      <c r="AM33" s="35"/>
      <c r="AN33" s="24"/>
      <c r="AO33" s="32">
        <v>46245</v>
      </c>
      <c r="AP33" s="26"/>
      <c r="AQ33" s="27"/>
      <c r="AR33" s="4"/>
      <c r="AS33" s="36"/>
      <c r="AT33" s="22"/>
      <c r="AU33" s="32">
        <v>46276</v>
      </c>
      <c r="AV33" s="26"/>
      <c r="AW33" s="27"/>
      <c r="AX33" s="4"/>
      <c r="AY33" s="35"/>
      <c r="AZ33" s="24"/>
      <c r="BA33" s="32">
        <v>46307</v>
      </c>
      <c r="BB33" s="26"/>
      <c r="BC33" s="27"/>
      <c r="BD33" s="4"/>
      <c r="BE33" s="35"/>
      <c r="BF33" s="24"/>
      <c r="BG33" s="32">
        <v>46337</v>
      </c>
      <c r="BH33" s="26"/>
      <c r="BI33" s="27"/>
      <c r="BJ33" s="4"/>
      <c r="BK33" s="35"/>
      <c r="BL33" s="24"/>
      <c r="BM33" s="32">
        <v>46368</v>
      </c>
      <c r="BN33" s="26"/>
      <c r="BO33" s="27"/>
      <c r="BP33" s="4"/>
      <c r="BQ33" s="35"/>
      <c r="BR33" s="24"/>
      <c r="BS33" s="32">
        <v>46398</v>
      </c>
      <c r="BT33" s="26"/>
    </row>
    <row r="34" spans="1:77" x14ac:dyDescent="0.25">
      <c r="A34" s="27"/>
      <c r="B34" s="4"/>
      <c r="C34" s="35"/>
      <c r="D34" s="22"/>
      <c r="E34" s="23">
        <v>46065</v>
      </c>
      <c r="F34" s="26"/>
      <c r="G34" s="27"/>
      <c r="H34" s="4"/>
      <c r="I34" s="36"/>
      <c r="J34" s="24"/>
      <c r="K34" s="23"/>
      <c r="L34" s="26"/>
      <c r="M34" s="27"/>
      <c r="N34" s="4"/>
      <c r="O34" s="35"/>
      <c r="P34" s="24">
        <v>39.83</v>
      </c>
      <c r="Q34" s="32">
        <v>46124</v>
      </c>
      <c r="R34" s="26" t="s">
        <v>65</v>
      </c>
      <c r="S34" s="27"/>
      <c r="T34" s="4"/>
      <c r="U34" s="35"/>
      <c r="V34" s="22"/>
      <c r="W34" s="32">
        <v>46155</v>
      </c>
      <c r="X34" s="26"/>
      <c r="Y34" s="27"/>
      <c r="Z34" s="4"/>
      <c r="AA34" s="35"/>
      <c r="AB34" s="24">
        <v>23.08</v>
      </c>
      <c r="AC34" s="32">
        <v>46185</v>
      </c>
      <c r="AD34" s="26" t="s">
        <v>57</v>
      </c>
      <c r="AE34" s="27"/>
      <c r="AF34" s="4"/>
      <c r="AG34" s="35"/>
      <c r="AH34" s="22"/>
      <c r="AI34" s="32">
        <v>46216</v>
      </c>
      <c r="AJ34" s="26"/>
      <c r="AK34" s="27"/>
      <c r="AL34" s="4"/>
      <c r="AM34" s="36">
        <v>200</v>
      </c>
      <c r="AN34" s="24"/>
      <c r="AO34" s="32">
        <v>46246</v>
      </c>
      <c r="AP34" s="26"/>
      <c r="AQ34" s="27"/>
      <c r="AR34" s="4"/>
      <c r="AS34" s="36"/>
      <c r="AT34" s="22"/>
      <c r="AU34" s="32">
        <v>46277</v>
      </c>
      <c r="AV34" s="26"/>
      <c r="AW34" s="27"/>
      <c r="AX34" s="4"/>
      <c r="AY34" s="35"/>
      <c r="AZ34" s="24"/>
      <c r="BA34" s="32">
        <v>46308</v>
      </c>
      <c r="BB34" s="26"/>
      <c r="BC34" s="27"/>
      <c r="BD34" s="4"/>
      <c r="BE34" s="35"/>
      <c r="BF34" s="24"/>
      <c r="BG34" s="32">
        <v>46338</v>
      </c>
      <c r="BH34" s="26"/>
      <c r="BI34" s="27"/>
      <c r="BJ34" s="4"/>
      <c r="BK34" s="35"/>
      <c r="BL34" s="24"/>
      <c r="BM34" s="32">
        <v>46369</v>
      </c>
      <c r="BN34" s="26"/>
      <c r="BO34" s="27"/>
      <c r="BP34" s="4"/>
      <c r="BQ34" s="35"/>
      <c r="BR34" s="24"/>
      <c r="BS34" s="32">
        <v>46399</v>
      </c>
      <c r="BT34" s="26"/>
    </row>
    <row r="35" spans="1:77" x14ac:dyDescent="0.25">
      <c r="A35" s="27"/>
      <c r="B35" s="4"/>
      <c r="C35" s="35"/>
      <c r="D35" s="22"/>
      <c r="E35" s="23">
        <v>46066</v>
      </c>
      <c r="F35" s="26"/>
      <c r="G35" s="27"/>
      <c r="H35" s="4"/>
      <c r="I35" s="36"/>
      <c r="J35" s="24"/>
      <c r="K35" s="23"/>
      <c r="L35" s="26"/>
      <c r="M35" s="27"/>
      <c r="N35" s="4"/>
      <c r="O35" s="35"/>
      <c r="P35" s="24">
        <v>7.39</v>
      </c>
      <c r="Q35" s="32">
        <v>46125</v>
      </c>
      <c r="R35" s="26" t="s">
        <v>59</v>
      </c>
      <c r="S35" s="27"/>
      <c r="T35" s="4"/>
      <c r="U35" s="35"/>
      <c r="V35" s="22"/>
      <c r="W35" s="23"/>
      <c r="X35" s="26"/>
      <c r="Y35" s="27"/>
      <c r="Z35" s="4"/>
      <c r="AA35" s="35"/>
      <c r="AB35" s="24"/>
      <c r="AC35" s="32">
        <v>46186</v>
      </c>
      <c r="AD35" s="26"/>
      <c r="AE35" s="27"/>
      <c r="AF35" s="4"/>
      <c r="AG35" s="35"/>
      <c r="AH35" s="22"/>
      <c r="AI35" s="23"/>
      <c r="AJ35" s="26"/>
      <c r="AK35" s="27"/>
      <c r="AL35" s="4"/>
      <c r="AM35" s="36">
        <v>88</v>
      </c>
      <c r="AN35" s="24"/>
      <c r="AO35" s="32">
        <v>46247</v>
      </c>
      <c r="AP35" s="26"/>
      <c r="AQ35" s="27"/>
      <c r="AR35" s="4"/>
      <c r="AS35" s="36"/>
      <c r="AT35" s="22"/>
      <c r="AU35" s="32">
        <v>46278</v>
      </c>
      <c r="AV35" s="26"/>
      <c r="AW35" s="27"/>
      <c r="AX35" s="4"/>
      <c r="AY35" s="35"/>
      <c r="AZ35" s="24"/>
      <c r="BA35" s="23"/>
      <c r="BB35" s="26"/>
      <c r="BC35" s="27"/>
      <c r="BD35" s="4"/>
      <c r="BE35" s="35"/>
      <c r="BF35" s="24"/>
      <c r="BG35" s="32">
        <v>46339</v>
      </c>
      <c r="BH35" s="26"/>
      <c r="BI35" s="27"/>
      <c r="BJ35" s="4"/>
      <c r="BK35" s="35"/>
      <c r="BL35" s="24"/>
      <c r="BM35" s="23"/>
      <c r="BN35" s="26"/>
      <c r="BO35" s="27"/>
      <c r="BP35" s="4"/>
      <c r="BQ35" s="35"/>
      <c r="BR35" s="24"/>
      <c r="BS35" s="32">
        <v>46400</v>
      </c>
      <c r="BT35" s="26"/>
    </row>
    <row r="36" spans="1:77" x14ac:dyDescent="0.25">
      <c r="A36" s="27"/>
      <c r="B36" s="4"/>
      <c r="C36" s="35"/>
      <c r="D36" s="22"/>
      <c r="E36" s="23"/>
      <c r="F36" s="26"/>
      <c r="G36" s="27"/>
      <c r="H36" s="4"/>
      <c r="I36" s="3"/>
      <c r="K36" s="40"/>
      <c r="L36" s="4"/>
      <c r="M36" s="27"/>
      <c r="N36" s="4"/>
      <c r="Q36" s="40"/>
      <c r="R36" s="4"/>
      <c r="S36" s="27"/>
      <c r="T36" s="4"/>
      <c r="W36" s="40"/>
      <c r="X36" s="4"/>
      <c r="Y36" s="27"/>
      <c r="Z36" s="4"/>
      <c r="AC36" s="40"/>
      <c r="AD36" s="4"/>
      <c r="AE36" s="27"/>
      <c r="AF36" s="4"/>
      <c r="AI36" s="40"/>
      <c r="AJ36" s="4"/>
      <c r="AK36" s="27"/>
      <c r="AL36" s="4"/>
      <c r="AO36" s="40"/>
      <c r="AP36" s="4"/>
      <c r="AQ36" s="27"/>
      <c r="AR36" s="4"/>
      <c r="AU36" s="40"/>
      <c r="AV36" s="4"/>
      <c r="AW36" s="27"/>
      <c r="AX36" s="4"/>
      <c r="BA36" s="40"/>
      <c r="BB36" s="4"/>
      <c r="BC36" s="27"/>
      <c r="BD36" s="4"/>
      <c r="BG36" s="40"/>
      <c r="BH36" s="4"/>
      <c r="BI36" s="27"/>
      <c r="BJ36" s="4"/>
      <c r="BM36" s="40"/>
      <c r="BN36" s="4"/>
      <c r="BO36" s="27"/>
      <c r="BP36" s="4"/>
      <c r="BS36" s="40"/>
      <c r="BT36" s="4"/>
    </row>
    <row r="37" spans="1:77" ht="15.75" x14ac:dyDescent="0.25">
      <c r="A37" s="27"/>
      <c r="B37" s="4"/>
      <c r="C37" s="35"/>
      <c r="D37" s="22"/>
      <c r="E37" s="23"/>
      <c r="F37" s="26"/>
      <c r="G37" s="27"/>
      <c r="H37" s="4"/>
      <c r="I37" s="3"/>
      <c r="K37" s="40"/>
      <c r="L37" s="4"/>
      <c r="M37" s="27"/>
      <c r="N37" s="4"/>
      <c r="Q37" s="40"/>
      <c r="R37" s="4"/>
      <c r="S37" s="27"/>
      <c r="T37" s="4"/>
      <c r="W37" s="40"/>
      <c r="X37" s="4"/>
      <c r="Y37" s="27"/>
      <c r="Z37" s="4"/>
      <c r="AC37" s="40"/>
      <c r="AD37" s="4"/>
      <c r="AE37" s="27"/>
      <c r="AF37" s="4"/>
      <c r="AI37" s="40"/>
      <c r="AJ37" s="4"/>
      <c r="AK37" s="27"/>
      <c r="AL37" s="4"/>
      <c r="AO37" s="40"/>
      <c r="AP37" s="4"/>
      <c r="AQ37" s="27"/>
      <c r="AR37" s="4"/>
      <c r="AU37" s="40"/>
      <c r="AV37" s="4"/>
      <c r="AW37" s="27"/>
      <c r="AX37" s="4"/>
      <c r="BA37" s="40"/>
      <c r="BB37" s="4"/>
      <c r="BC37" s="27"/>
      <c r="BD37" s="4"/>
      <c r="BG37" s="40"/>
      <c r="BH37" s="4"/>
      <c r="BI37" s="27"/>
      <c r="BJ37" s="4"/>
      <c r="BM37" s="40"/>
      <c r="BN37" s="4"/>
      <c r="BO37" s="27"/>
      <c r="BP37" s="4"/>
      <c r="BS37" s="40"/>
      <c r="BT37" s="4"/>
      <c r="BV37" s="85" t="s">
        <v>76</v>
      </c>
      <c r="BW37" s="85" t="s">
        <v>77</v>
      </c>
    </row>
    <row r="38" spans="1:77" ht="16.5" thickBot="1" x14ac:dyDescent="0.3">
      <c r="A38" s="28" t="s">
        <v>78</v>
      </c>
      <c r="B38" s="38">
        <f>B5-(SUM(D5:D37))</f>
        <v>58.079999999999984</v>
      </c>
      <c r="C38" s="5"/>
      <c r="D38" s="39">
        <f>SUM(D5:D37)</f>
        <v>478.71</v>
      </c>
      <c r="E38" s="86">
        <f>COUNT(E5:E37)</f>
        <v>31</v>
      </c>
      <c r="F38" s="101">
        <f>D38/E38</f>
        <v>15.442258064516128</v>
      </c>
      <c r="G38" s="28" t="s">
        <v>78</v>
      </c>
      <c r="H38" s="38">
        <f>H5-(SUM(J5:J35))</f>
        <v>44.690000000000168</v>
      </c>
      <c r="I38" s="5"/>
      <c r="J38" s="39">
        <f>SUM(J5:J35)</f>
        <v>536.25999999999988</v>
      </c>
      <c r="K38" s="86">
        <f>COUNT(K5:K37)</f>
        <v>29</v>
      </c>
      <c r="L38" s="101">
        <f>J38/K38</f>
        <v>18.49172413793103</v>
      </c>
      <c r="M38" s="28" t="s">
        <v>78</v>
      </c>
      <c r="N38" s="38">
        <f>N5-(SUM(P5:P35))</f>
        <v>117.34000000000015</v>
      </c>
      <c r="O38" s="5"/>
      <c r="P38" s="39">
        <f>SUM(P5:P35)</f>
        <v>427.35</v>
      </c>
      <c r="Q38" s="86">
        <f>COUNT(Q5:Q37)</f>
        <v>31</v>
      </c>
      <c r="R38" s="101">
        <f>P38/Q38</f>
        <v>13.785483870967743</v>
      </c>
      <c r="S38" s="28" t="s">
        <v>78</v>
      </c>
      <c r="T38" s="38">
        <f>T5-(SUM(V5:V35))</f>
        <v>177.0200000000001</v>
      </c>
      <c r="U38" s="5"/>
      <c r="V38" s="39">
        <f>SUM(V5:V35)</f>
        <v>428.32000000000005</v>
      </c>
      <c r="W38" s="86">
        <f>COUNT(W5:W37)</f>
        <v>30</v>
      </c>
      <c r="X38" s="101">
        <f>V38/W38</f>
        <v>14.277333333333335</v>
      </c>
      <c r="Y38" s="28" t="s">
        <v>78</v>
      </c>
      <c r="Z38" s="38">
        <f>Z5-(SUM(AB5:AB35))</f>
        <v>154.74000000000012</v>
      </c>
      <c r="AA38" s="5"/>
      <c r="AB38" s="39">
        <f>SUM(AB5:AB35)</f>
        <v>318.27999999999997</v>
      </c>
      <c r="AC38" s="86">
        <f>COUNT(AC5:AC37)</f>
        <v>31</v>
      </c>
      <c r="AD38" s="101">
        <f>AB38/AC38</f>
        <v>10.267096774193547</v>
      </c>
      <c r="AE38" s="28" t="s">
        <v>78</v>
      </c>
      <c r="AF38" s="38">
        <f>AF5-(SUM(AH5:AH32))</f>
        <v>29.460000000000093</v>
      </c>
      <c r="AG38" s="5"/>
      <c r="AH38" s="39">
        <f>SUM(AH5:AH35)</f>
        <v>325.28000000000003</v>
      </c>
      <c r="AI38" s="86">
        <f>COUNT(AI5:AI37)</f>
        <v>30</v>
      </c>
      <c r="AJ38" s="101">
        <f>AH38/AI38</f>
        <v>10.842666666666668</v>
      </c>
      <c r="AK38" s="28" t="s">
        <v>78</v>
      </c>
      <c r="AL38" s="38">
        <f>AL5-(SUM(AN5:AN32))</f>
        <v>296.54000000000008</v>
      </c>
      <c r="AM38" s="5"/>
      <c r="AN38" s="39">
        <f>SUM(AN5:AN35)</f>
        <v>470.91999999999996</v>
      </c>
      <c r="AO38" s="86">
        <f>COUNT(AO5:AO37)</f>
        <v>31</v>
      </c>
      <c r="AP38" s="101">
        <f>AN38/AO38</f>
        <v>15.190967741935482</v>
      </c>
      <c r="AQ38" s="28" t="s">
        <v>78</v>
      </c>
      <c r="AR38" s="38">
        <f>AR5-(SUM(AT5:AT32))</f>
        <v>117.23000000000008</v>
      </c>
      <c r="AS38" s="5"/>
      <c r="AT38" s="39">
        <f>SUM(AT5:AT35)</f>
        <v>291.31</v>
      </c>
      <c r="AU38" s="86">
        <f>COUNT(AU5:AU37)</f>
        <v>31</v>
      </c>
      <c r="AV38" s="29"/>
      <c r="AW38" s="28" t="s">
        <v>78</v>
      </c>
      <c r="AX38" s="38">
        <f>AX5-(SUM(AZ5:AZ32))</f>
        <v>117.23000000000008</v>
      </c>
      <c r="AY38" s="5"/>
      <c r="AZ38" s="39">
        <f>SUM(AZ5:AZ35)</f>
        <v>0</v>
      </c>
      <c r="BA38" s="86">
        <f>COUNT(BA5:BA37)</f>
        <v>30</v>
      </c>
      <c r="BB38" s="29"/>
      <c r="BC38" s="28" t="s">
        <v>78</v>
      </c>
      <c r="BD38" s="38">
        <f>BD5-(SUM(BF5:BF32))</f>
        <v>117.23000000000008</v>
      </c>
      <c r="BE38" s="5"/>
      <c r="BF38" s="39">
        <f>SUM(BF5:BF35)</f>
        <v>0</v>
      </c>
      <c r="BG38" s="86">
        <f>COUNT(BG5:BG37)</f>
        <v>31</v>
      </c>
      <c r="BH38" s="29"/>
      <c r="BI38" s="28" t="s">
        <v>78</v>
      </c>
      <c r="BJ38" s="38">
        <f>BJ5-(SUM(BL5:BL32))</f>
        <v>117.23000000000008</v>
      </c>
      <c r="BK38" s="5"/>
      <c r="BL38" s="39">
        <f>SUM(BL5:BL35)</f>
        <v>0</v>
      </c>
      <c r="BM38" s="86">
        <f>COUNT(BM5:BM37)</f>
        <v>30</v>
      </c>
      <c r="BN38" s="29"/>
      <c r="BO38" s="28" t="s">
        <v>78</v>
      </c>
      <c r="BP38" s="38">
        <f>BP5-(SUM(BR5:BR32))</f>
        <v>117.23000000000008</v>
      </c>
      <c r="BQ38" s="5"/>
      <c r="BR38" s="39">
        <f>SUM(BR5:BR35)</f>
        <v>0</v>
      </c>
      <c r="BS38" s="86">
        <f>COUNT(BS5:BS37)</f>
        <v>31</v>
      </c>
      <c r="BT38" s="29"/>
      <c r="BV38" s="20">
        <f>D38+J38+P38+V38+AB38+AH38+AN38+AT38+AZ38+BF38+BL38+BR38</f>
        <v>3276.4300000000003</v>
      </c>
      <c r="BW38" t="s">
        <v>41</v>
      </c>
      <c r="BX38">
        <v>1</v>
      </c>
      <c r="BY38" s="2">
        <f>BX38*(D38/E38)</f>
        <v>15.442258064516128</v>
      </c>
    </row>
    <row r="39" spans="1:77" x14ac:dyDescent="0.25">
      <c r="BW39" t="s">
        <v>45</v>
      </c>
      <c r="BX39">
        <v>1</v>
      </c>
      <c r="BY39" s="2">
        <f>BX39*(J38/K38)</f>
        <v>18.49172413793103</v>
      </c>
    </row>
    <row r="40" spans="1:77" ht="15.75" x14ac:dyDescent="0.25">
      <c r="BV40" s="85" t="s">
        <v>79</v>
      </c>
      <c r="BW40" t="s">
        <v>46</v>
      </c>
      <c r="BX40">
        <v>1</v>
      </c>
      <c r="BY40" s="2">
        <f>BX40*(P38/Q38)</f>
        <v>13.785483870967743</v>
      </c>
    </row>
    <row r="41" spans="1:77" x14ac:dyDescent="0.25">
      <c r="BV41" s="41">
        <f>SUM(BY38:BY49)/SUM(BX38:BX49)</f>
        <v>15.499199851687059</v>
      </c>
      <c r="BW41" t="s">
        <v>47</v>
      </c>
      <c r="BX41">
        <v>1</v>
      </c>
      <c r="BY41" s="2">
        <f>BX41*(V38/W38)</f>
        <v>14.277333333333335</v>
      </c>
    </row>
    <row r="42" spans="1:77" x14ac:dyDescent="0.25">
      <c r="T42" s="2"/>
      <c r="BW42" t="s">
        <v>48</v>
      </c>
      <c r="BX42">
        <v>0</v>
      </c>
      <c r="BY42" s="2">
        <f>BX42*(AB38/AC38)</f>
        <v>0</v>
      </c>
    </row>
    <row r="43" spans="1:77" x14ac:dyDescent="0.25">
      <c r="AG43" s="2"/>
      <c r="BW43" t="s">
        <v>49</v>
      </c>
      <c r="BX43">
        <v>0</v>
      </c>
      <c r="BY43" s="2">
        <f>BX43*(AH38/AI38)</f>
        <v>0</v>
      </c>
    </row>
    <row r="44" spans="1:77" x14ac:dyDescent="0.25">
      <c r="AG44" s="2"/>
      <c r="BW44" t="s">
        <v>50</v>
      </c>
      <c r="BX44">
        <v>0</v>
      </c>
      <c r="BY44" s="2">
        <f>BX44*(AN38/AO38)</f>
        <v>0</v>
      </c>
    </row>
    <row r="45" spans="1:77" x14ac:dyDescent="0.25">
      <c r="BW45" t="s">
        <v>51</v>
      </c>
      <c r="BX45">
        <v>0</v>
      </c>
      <c r="BY45" s="2">
        <f>BX45*(AT38/AU38)</f>
        <v>0</v>
      </c>
    </row>
    <row r="46" spans="1:77" x14ac:dyDescent="0.25">
      <c r="BW46" t="s">
        <v>52</v>
      </c>
      <c r="BX46">
        <v>0</v>
      </c>
      <c r="BY46" s="2">
        <f>BX46*(AZ38/BA38)</f>
        <v>0</v>
      </c>
    </row>
    <row r="47" spans="1:77" x14ac:dyDescent="0.25">
      <c r="BW47" t="s">
        <v>53</v>
      </c>
      <c r="BX47">
        <v>0</v>
      </c>
      <c r="BY47" s="2">
        <f>BX47*(BF38/BG38)</f>
        <v>0</v>
      </c>
    </row>
    <row r="48" spans="1:77" x14ac:dyDescent="0.25">
      <c r="BW48" t="s">
        <v>54</v>
      </c>
      <c r="BX48">
        <v>0</v>
      </c>
      <c r="BY48" s="2">
        <f>BX48*(BL38/BM38)</f>
        <v>0</v>
      </c>
    </row>
    <row r="49" spans="75:77" x14ac:dyDescent="0.25">
      <c r="BW49" t="s">
        <v>55</v>
      </c>
      <c r="BX49">
        <v>0</v>
      </c>
      <c r="BY49" s="2">
        <f>BX49*(BR38/BS38)</f>
        <v>0</v>
      </c>
    </row>
  </sheetData>
  <mergeCells count="84">
    <mergeCell ref="I3:I4"/>
    <mergeCell ref="A3:B4"/>
    <mergeCell ref="A1:A2"/>
    <mergeCell ref="B1:B2"/>
    <mergeCell ref="C3:C4"/>
    <mergeCell ref="D3:D4"/>
    <mergeCell ref="E3:E4"/>
    <mergeCell ref="F3:F4"/>
    <mergeCell ref="G1:G2"/>
    <mergeCell ref="H1:H2"/>
    <mergeCell ref="G3:H4"/>
    <mergeCell ref="J3:J4"/>
    <mergeCell ref="K3:K4"/>
    <mergeCell ref="L3:L4"/>
    <mergeCell ref="M1:M2"/>
    <mergeCell ref="N1:N2"/>
    <mergeCell ref="M3:N4"/>
    <mergeCell ref="O3:O4"/>
    <mergeCell ref="P3:P4"/>
    <mergeCell ref="Q3:Q4"/>
    <mergeCell ref="R3:R4"/>
    <mergeCell ref="S1:S2"/>
    <mergeCell ref="T1:T2"/>
    <mergeCell ref="S3:T4"/>
    <mergeCell ref="U3:U4"/>
    <mergeCell ref="V3:V4"/>
    <mergeCell ref="W3:W4"/>
    <mergeCell ref="X3:X4"/>
    <mergeCell ref="Y1:Y2"/>
    <mergeCell ref="Z1:Z2"/>
    <mergeCell ref="Y3:Z4"/>
    <mergeCell ref="AA3:AA4"/>
    <mergeCell ref="AB3:AB4"/>
    <mergeCell ref="AC3:AC4"/>
    <mergeCell ref="AD3:AD4"/>
    <mergeCell ref="AE1:AE2"/>
    <mergeCell ref="AF1:AF2"/>
    <mergeCell ref="AE3:AF4"/>
    <mergeCell ref="AG3:AG4"/>
    <mergeCell ref="AH3:AH4"/>
    <mergeCell ref="AI3:AI4"/>
    <mergeCell ref="AJ3:AJ4"/>
    <mergeCell ref="AK1:AK2"/>
    <mergeCell ref="AL1:AL2"/>
    <mergeCell ref="AK3:AL4"/>
    <mergeCell ref="AM3:AM4"/>
    <mergeCell ref="AN3:AN4"/>
    <mergeCell ref="AO3:AO4"/>
    <mergeCell ref="AP3:AP4"/>
    <mergeCell ref="AQ1:AQ2"/>
    <mergeCell ref="AR1:AR2"/>
    <mergeCell ref="AQ3:AR4"/>
    <mergeCell ref="AS3:AS4"/>
    <mergeCell ref="AT3:AT4"/>
    <mergeCell ref="AU3:AU4"/>
    <mergeCell ref="AV3:AV4"/>
    <mergeCell ref="AW1:AW2"/>
    <mergeCell ref="AX1:AX2"/>
    <mergeCell ref="AW3:AX4"/>
    <mergeCell ref="AY3:AY4"/>
    <mergeCell ref="AZ3:AZ4"/>
    <mergeCell ref="BA3:BA4"/>
    <mergeCell ref="BB3:BB4"/>
    <mergeCell ref="BC1:BC2"/>
    <mergeCell ref="BD1:BD2"/>
    <mergeCell ref="BC3:BD4"/>
    <mergeCell ref="BE3:BE4"/>
    <mergeCell ref="BF3:BF4"/>
    <mergeCell ref="BG3:BG4"/>
    <mergeCell ref="BO1:BO2"/>
    <mergeCell ref="BP1:BP2"/>
    <mergeCell ref="BO3:BP4"/>
    <mergeCell ref="BH3:BH4"/>
    <mergeCell ref="BI1:BI2"/>
    <mergeCell ref="BJ1:BJ2"/>
    <mergeCell ref="BI3:BJ4"/>
    <mergeCell ref="BK3:BK4"/>
    <mergeCell ref="BQ3:BQ4"/>
    <mergeCell ref="BR3:BR4"/>
    <mergeCell ref="BS3:BS4"/>
    <mergeCell ref="BT3:BT4"/>
    <mergeCell ref="BL3:BL4"/>
    <mergeCell ref="BM3:BM4"/>
    <mergeCell ref="BN3:BN4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CE61-C77B-4BCC-AE72-95E7883D680B}">
  <dimension ref="A5:L30"/>
  <sheetViews>
    <sheetView workbookViewId="0">
      <selection activeCell="D30" sqref="D30"/>
    </sheetView>
  </sheetViews>
  <sheetFormatPr defaultRowHeight="15" x14ac:dyDescent="0.25"/>
  <cols>
    <col min="1" max="1" width="11.28515625" bestFit="1" customWidth="1"/>
    <col min="2" max="2" width="10.85546875" style="7" bestFit="1" customWidth="1"/>
    <col min="3" max="3" width="2.140625" style="45" bestFit="1" customWidth="1"/>
    <col min="4" max="4" width="9.5703125" bestFit="1" customWidth="1"/>
    <col min="9" max="9" width="11" bestFit="1" customWidth="1"/>
    <col min="12" max="12" width="11" bestFit="1" customWidth="1"/>
    <col min="17" max="17" width="11" bestFit="1" customWidth="1"/>
  </cols>
  <sheetData>
    <row r="5" spans="1:6" x14ac:dyDescent="0.25">
      <c r="A5" t="s">
        <v>80</v>
      </c>
    </row>
    <row r="6" spans="1:6" x14ac:dyDescent="0.25">
      <c r="D6" s="84" t="s">
        <v>81</v>
      </c>
      <c r="E6" s="84" t="s">
        <v>82</v>
      </c>
    </row>
    <row r="7" spans="1:6" x14ac:dyDescent="0.25">
      <c r="A7">
        <v>5220697307</v>
      </c>
      <c r="B7" s="7" t="s">
        <v>83</v>
      </c>
      <c r="C7" s="45">
        <v>2</v>
      </c>
      <c r="D7" s="1">
        <v>124.64</v>
      </c>
      <c r="E7" s="87">
        <v>211</v>
      </c>
      <c r="F7" s="2">
        <f>D7/E7</f>
        <v>0.5907109004739336</v>
      </c>
    </row>
    <row r="8" spans="1:6" x14ac:dyDescent="0.25">
      <c r="A8">
        <v>5238413633</v>
      </c>
      <c r="B8" s="7" t="s">
        <v>83</v>
      </c>
      <c r="C8" s="45">
        <v>2</v>
      </c>
      <c r="D8" s="1">
        <v>106.56</v>
      </c>
      <c r="E8" s="87">
        <v>162</v>
      </c>
      <c r="F8" s="2">
        <f t="shared" ref="F8:F12" si="0">D8/E8</f>
        <v>0.65777777777777779</v>
      </c>
    </row>
    <row r="9" spans="1:6" x14ac:dyDescent="0.25">
      <c r="A9">
        <v>5255366803</v>
      </c>
      <c r="B9" s="7" t="s">
        <v>83</v>
      </c>
      <c r="C9" s="45">
        <v>2</v>
      </c>
      <c r="D9" s="1">
        <v>108</v>
      </c>
      <c r="E9" s="87">
        <v>159</v>
      </c>
      <c r="F9" s="2">
        <f t="shared" si="0"/>
        <v>0.67924528301886788</v>
      </c>
    </row>
    <row r="10" spans="1:6" x14ac:dyDescent="0.25">
      <c r="A10">
        <v>5275187446</v>
      </c>
      <c r="B10" s="7" t="s">
        <v>83</v>
      </c>
      <c r="C10" s="45">
        <v>2</v>
      </c>
      <c r="D10" s="1">
        <v>108.25</v>
      </c>
      <c r="E10" s="87">
        <v>155</v>
      </c>
      <c r="F10" s="2">
        <f t="shared" si="0"/>
        <v>0.69838709677419353</v>
      </c>
    </row>
    <row r="11" spans="1:6" x14ac:dyDescent="0.25">
      <c r="A11">
        <v>5288307004</v>
      </c>
      <c r="B11" s="7" t="s">
        <v>83</v>
      </c>
      <c r="C11" s="45">
        <v>2</v>
      </c>
      <c r="D11" s="1">
        <v>100.39</v>
      </c>
      <c r="E11" s="87">
        <v>131</v>
      </c>
      <c r="F11" s="2">
        <f t="shared" si="0"/>
        <v>0.76633587786259538</v>
      </c>
    </row>
    <row r="12" spans="1:6" x14ac:dyDescent="0.25">
      <c r="A12">
        <v>5403187058</v>
      </c>
      <c r="B12" s="7" t="s">
        <v>83</v>
      </c>
      <c r="C12" s="45">
        <v>2</v>
      </c>
      <c r="D12" s="1">
        <v>120.98</v>
      </c>
      <c r="E12" s="87">
        <v>202</v>
      </c>
      <c r="F12" s="2">
        <f t="shared" si="0"/>
        <v>0.59891089108910889</v>
      </c>
    </row>
    <row r="13" spans="1:6" x14ac:dyDescent="0.25">
      <c r="D13" s="41">
        <f>SUM(D7:D12)</f>
        <v>668.82</v>
      </c>
      <c r="E13" s="88">
        <f>SUM(E7:E12)</f>
        <v>1020</v>
      </c>
    </row>
    <row r="14" spans="1:6" x14ac:dyDescent="0.25">
      <c r="D14" s="199" t="s">
        <v>84</v>
      </c>
      <c r="E14" s="199"/>
    </row>
    <row r="15" spans="1:6" x14ac:dyDescent="0.25">
      <c r="D15" s="42">
        <f>D13/SUM(C7:C12)</f>
        <v>55.735000000000007</v>
      </c>
      <c r="E15" s="88">
        <f>E13/SUM(C7:C12)</f>
        <v>85</v>
      </c>
    </row>
    <row r="16" spans="1:6" x14ac:dyDescent="0.25">
      <c r="D16" s="1"/>
    </row>
    <row r="17" spans="1:12" x14ac:dyDescent="0.25">
      <c r="A17" t="s">
        <v>85</v>
      </c>
      <c r="D17" s="1"/>
    </row>
    <row r="18" spans="1:12" x14ac:dyDescent="0.25">
      <c r="D18" s="41" t="s">
        <v>81</v>
      </c>
      <c r="E18" s="84" t="s">
        <v>82</v>
      </c>
    </row>
    <row r="19" spans="1:12" x14ac:dyDescent="0.25">
      <c r="A19">
        <v>5420032506</v>
      </c>
      <c r="B19" s="7" t="s">
        <v>83</v>
      </c>
      <c r="C19" s="45">
        <v>2</v>
      </c>
      <c r="D19" s="1">
        <v>143.16999999999999</v>
      </c>
      <c r="E19" s="87">
        <v>287</v>
      </c>
      <c r="F19" s="2">
        <f t="shared" ref="F19:F22" si="1">D19/E19</f>
        <v>0.49885017421602784</v>
      </c>
    </row>
    <row r="20" spans="1:12" x14ac:dyDescent="0.25">
      <c r="A20">
        <v>5432341930</v>
      </c>
      <c r="B20" s="7" t="s">
        <v>83</v>
      </c>
      <c r="C20" s="45">
        <v>1</v>
      </c>
      <c r="D20" s="1">
        <v>77.400000000000006</v>
      </c>
      <c r="E20" s="87">
        <v>147</v>
      </c>
      <c r="F20" s="2">
        <f t="shared" si="1"/>
        <v>0.52653061224489794</v>
      </c>
      <c r="L20" s="44"/>
    </row>
    <row r="21" spans="1:12" x14ac:dyDescent="0.25">
      <c r="A21">
        <v>1525524</v>
      </c>
      <c r="B21" s="7" t="s">
        <v>86</v>
      </c>
      <c r="C21" s="45">
        <v>1</v>
      </c>
      <c r="D21" s="1">
        <v>54.16</v>
      </c>
      <c r="E21" s="87">
        <v>126</v>
      </c>
      <c r="F21" s="2">
        <f t="shared" si="1"/>
        <v>0.4298412698412698</v>
      </c>
    </row>
    <row r="22" spans="1:12" x14ac:dyDescent="0.25">
      <c r="A22">
        <v>2261770</v>
      </c>
      <c r="B22" s="7" t="s">
        <v>86</v>
      </c>
      <c r="C22" s="45">
        <v>2</v>
      </c>
      <c r="D22" s="1">
        <v>111.23</v>
      </c>
      <c r="E22" s="87">
        <v>262</v>
      </c>
      <c r="F22" s="2">
        <f t="shared" si="1"/>
        <v>0.42454198473282445</v>
      </c>
    </row>
    <row r="28" spans="1:12" x14ac:dyDescent="0.25">
      <c r="D28" s="41">
        <f>SUM(D19:D27)</f>
        <v>385.96000000000004</v>
      </c>
      <c r="E28" s="88">
        <f>SUM(E19:E27)</f>
        <v>822</v>
      </c>
      <c r="H28" s="2"/>
    </row>
    <row r="29" spans="1:12" x14ac:dyDescent="0.25">
      <c r="D29" s="199" t="s">
        <v>84</v>
      </c>
      <c r="E29" s="199"/>
    </row>
    <row r="30" spans="1:12" x14ac:dyDescent="0.25">
      <c r="D30" s="42">
        <f>D28/SUM(C19:C28)</f>
        <v>64.326666666666668</v>
      </c>
      <c r="E30" s="88">
        <f>E28/SUM(C19:C27)</f>
        <v>137</v>
      </c>
    </row>
  </sheetData>
  <mergeCells count="2">
    <mergeCell ref="D14:E14"/>
    <mergeCell ref="D29:E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8477-E065-4960-9FAC-FB66BA1ACEB4}">
  <dimension ref="A3:R67"/>
  <sheetViews>
    <sheetView tabSelected="1" topLeftCell="A3" workbookViewId="0">
      <selection activeCell="L25" sqref="L25"/>
    </sheetView>
  </sheetViews>
  <sheetFormatPr defaultRowHeight="15" x14ac:dyDescent="0.25"/>
  <cols>
    <col min="1" max="1" width="20.7109375" bestFit="1" customWidth="1"/>
    <col min="2" max="3" width="9.5703125" style="1" bestFit="1" customWidth="1"/>
    <col min="4" max="4" width="2.7109375" style="1" customWidth="1"/>
    <col min="5" max="5" width="8.85546875" bestFit="1" customWidth="1"/>
    <col min="6" max="9" width="9.5703125" bestFit="1" customWidth="1"/>
    <col min="10" max="10" width="9.42578125" bestFit="1" customWidth="1"/>
    <col min="11" max="11" width="9.5703125" bestFit="1" customWidth="1"/>
    <col min="12" max="12" width="10.42578125" bestFit="1" customWidth="1"/>
    <col min="13" max="13" width="9.28515625" bestFit="1" customWidth="1"/>
    <col min="14" max="14" width="9.42578125" bestFit="1" customWidth="1"/>
    <col min="15" max="15" width="8.5703125" bestFit="1" customWidth="1"/>
    <col min="16" max="16" width="9.42578125" bestFit="1" customWidth="1"/>
    <col min="17" max="17" width="8.5703125" bestFit="1" customWidth="1"/>
    <col min="18" max="18" width="9.42578125" bestFit="1" customWidth="1"/>
  </cols>
  <sheetData>
    <row r="3" spans="1:18" ht="18.75" x14ac:dyDescent="0.3">
      <c r="A3" s="202" t="s">
        <v>87</v>
      </c>
      <c r="B3" s="202"/>
      <c r="C3" s="202"/>
    </row>
    <row r="4" spans="1:18" ht="15.75" thickBot="1" x14ac:dyDescent="0.3"/>
    <row r="5" spans="1:18" ht="15.75" thickBot="1" x14ac:dyDescent="0.3">
      <c r="E5" s="200" t="s">
        <v>47</v>
      </c>
      <c r="F5" s="201"/>
      <c r="G5" s="200" t="s">
        <v>48</v>
      </c>
      <c r="H5" s="201"/>
      <c r="I5" s="200" t="s">
        <v>49</v>
      </c>
      <c r="J5" s="201"/>
      <c r="K5" s="200" t="s">
        <v>50</v>
      </c>
      <c r="L5" s="201"/>
      <c r="M5" s="200" t="s">
        <v>51</v>
      </c>
      <c r="N5" s="201"/>
      <c r="O5" s="200" t="s">
        <v>52</v>
      </c>
      <c r="P5" s="201"/>
      <c r="Q5" s="200" t="s">
        <v>53</v>
      </c>
      <c r="R5" s="201"/>
    </row>
    <row r="6" spans="1:18" ht="15.75" thickBot="1" x14ac:dyDescent="0.3">
      <c r="A6" s="65" t="s">
        <v>88</v>
      </c>
      <c r="B6" s="62" t="s">
        <v>81</v>
      </c>
      <c r="C6" s="62" t="s">
        <v>89</v>
      </c>
      <c r="E6" s="55" t="s">
        <v>0</v>
      </c>
      <c r="F6" s="56" t="s">
        <v>1</v>
      </c>
      <c r="G6" s="55" t="s">
        <v>0</v>
      </c>
      <c r="H6" s="56" t="s">
        <v>1</v>
      </c>
      <c r="I6" s="55" t="s">
        <v>0</v>
      </c>
      <c r="J6" s="56" t="s">
        <v>1</v>
      </c>
      <c r="K6" s="55" t="s">
        <v>0</v>
      </c>
      <c r="L6" s="56" t="s">
        <v>1</v>
      </c>
      <c r="M6" s="55" t="s">
        <v>0</v>
      </c>
      <c r="N6" s="56" t="s">
        <v>1</v>
      </c>
      <c r="O6" s="55" t="s">
        <v>0</v>
      </c>
      <c r="P6" s="56" t="s">
        <v>1</v>
      </c>
      <c r="Q6" s="55" t="s">
        <v>0</v>
      </c>
      <c r="R6" s="56" t="s">
        <v>1</v>
      </c>
    </row>
    <row r="7" spans="1:18" x14ac:dyDescent="0.25">
      <c r="A7" s="60" t="s">
        <v>90</v>
      </c>
      <c r="B7" s="63">
        <v>175.88</v>
      </c>
      <c r="C7" s="63">
        <v>58.63</v>
      </c>
      <c r="E7" s="54"/>
      <c r="F7" s="33"/>
      <c r="G7" s="78">
        <f>C7/2</f>
        <v>29.315000000000001</v>
      </c>
      <c r="H7" s="79">
        <f>C7/2</f>
        <v>29.315000000000001</v>
      </c>
      <c r="I7" s="98">
        <f>G7</f>
        <v>29.315000000000001</v>
      </c>
      <c r="J7" s="99">
        <f>H7</f>
        <v>29.315000000000001</v>
      </c>
      <c r="K7" s="98">
        <f>I7</f>
        <v>29.315000000000001</v>
      </c>
      <c r="L7" s="99">
        <f>J7</f>
        <v>29.315000000000001</v>
      </c>
      <c r="M7" s="54"/>
      <c r="N7" s="33"/>
      <c r="O7" s="54"/>
      <c r="P7" s="33"/>
      <c r="Q7" s="54"/>
      <c r="R7" s="33"/>
    </row>
    <row r="8" spans="1:18" x14ac:dyDescent="0.25">
      <c r="A8" s="57"/>
      <c r="B8" s="58"/>
      <c r="C8" s="58"/>
      <c r="E8" s="48"/>
      <c r="F8" s="49"/>
      <c r="G8" s="47"/>
      <c r="H8" s="26"/>
      <c r="I8" s="47"/>
      <c r="J8" s="26"/>
      <c r="K8" s="47"/>
      <c r="L8" s="26"/>
      <c r="M8" s="47"/>
      <c r="N8" s="26"/>
      <c r="O8" s="47"/>
      <c r="P8" s="26"/>
      <c r="Q8" s="47"/>
      <c r="R8" s="26"/>
    </row>
    <row r="9" spans="1:18" x14ac:dyDescent="0.25">
      <c r="A9" s="57"/>
      <c r="B9" s="58"/>
      <c r="C9" s="58"/>
      <c r="E9" s="48"/>
      <c r="F9" s="49"/>
      <c r="G9" s="47"/>
      <c r="H9" s="26"/>
      <c r="I9" s="47"/>
      <c r="J9" s="26"/>
      <c r="K9" s="47"/>
      <c r="L9" s="26"/>
      <c r="M9" s="47"/>
      <c r="N9" s="26"/>
      <c r="O9" s="47"/>
      <c r="P9" s="26"/>
      <c r="Q9" s="47"/>
      <c r="R9" s="26"/>
    </row>
    <row r="10" spans="1:18" ht="15.75" thickBot="1" x14ac:dyDescent="0.3">
      <c r="A10" s="59" t="s">
        <v>91</v>
      </c>
      <c r="B10" s="64">
        <v>732</v>
      </c>
      <c r="C10" s="64">
        <v>244.09</v>
      </c>
      <c r="E10" s="47"/>
      <c r="F10" s="26"/>
      <c r="G10" s="76">
        <f>C10/2</f>
        <v>122.045</v>
      </c>
      <c r="H10" s="77">
        <f>C10/2</f>
        <v>122.045</v>
      </c>
      <c r="I10" s="80">
        <f>G10</f>
        <v>122.045</v>
      </c>
      <c r="J10" s="81">
        <f>H10*0</f>
        <v>0</v>
      </c>
      <c r="K10" s="112">
        <f>I10</f>
        <v>122.045</v>
      </c>
      <c r="L10" s="77">
        <f>C10/2*0</f>
        <v>0</v>
      </c>
      <c r="M10" s="47"/>
      <c r="N10" s="26"/>
      <c r="O10" s="47"/>
      <c r="P10" s="26"/>
      <c r="Q10" s="47"/>
      <c r="R10" s="26"/>
    </row>
    <row r="11" spans="1:18" ht="15.75" thickBot="1" x14ac:dyDescent="0.3">
      <c r="E11" s="48"/>
      <c r="F11" s="49"/>
      <c r="G11" s="47"/>
      <c r="H11" s="26"/>
      <c r="I11" s="47"/>
      <c r="J11" s="26"/>
      <c r="K11" s="47"/>
      <c r="L11" s="26"/>
      <c r="M11" s="47"/>
      <c r="N11" s="26"/>
      <c r="O11" s="47"/>
      <c r="P11" s="26"/>
      <c r="Q11" s="47"/>
      <c r="R11" s="26"/>
    </row>
    <row r="12" spans="1:18" ht="15.75" thickBot="1" x14ac:dyDescent="0.3">
      <c r="A12" s="68" t="s">
        <v>92</v>
      </c>
      <c r="B12" s="66" t="s">
        <v>81</v>
      </c>
      <c r="C12" s="66" t="s">
        <v>89</v>
      </c>
      <c r="E12" s="48"/>
      <c r="F12" s="49"/>
      <c r="G12" s="47"/>
      <c r="H12" s="26"/>
      <c r="I12" s="47"/>
      <c r="J12" s="26"/>
      <c r="K12" s="47"/>
      <c r="L12" s="26"/>
      <c r="M12" s="47"/>
      <c r="N12" s="26"/>
      <c r="O12" s="47"/>
      <c r="P12" s="26"/>
      <c r="Q12" s="47"/>
      <c r="R12" s="26"/>
    </row>
    <row r="13" spans="1:18" x14ac:dyDescent="0.25">
      <c r="A13" s="69" t="s">
        <v>93</v>
      </c>
      <c r="B13" s="67">
        <v>59.85</v>
      </c>
      <c r="C13" s="67"/>
      <c r="E13" s="48"/>
      <c r="F13" s="49"/>
      <c r="G13" s="47"/>
      <c r="H13" s="26"/>
      <c r="I13" s="47"/>
      <c r="J13" s="26"/>
      <c r="K13" s="47"/>
      <c r="L13" s="26"/>
      <c r="M13" s="47"/>
      <c r="N13" s="26"/>
      <c r="O13" s="47"/>
      <c r="P13" s="26"/>
      <c r="Q13" s="47"/>
      <c r="R13" s="26"/>
    </row>
    <row r="14" spans="1:18" x14ac:dyDescent="0.25">
      <c r="A14" s="69" t="s">
        <v>94</v>
      </c>
      <c r="B14" s="58">
        <v>109.99</v>
      </c>
      <c r="C14" s="58"/>
      <c r="E14" s="48"/>
      <c r="F14" s="49"/>
      <c r="G14" s="47"/>
      <c r="H14" s="26"/>
      <c r="I14" s="47"/>
      <c r="J14" s="26"/>
      <c r="K14" s="47"/>
      <c r="L14" s="26"/>
      <c r="M14" s="47"/>
      <c r="N14" s="26"/>
      <c r="O14" s="47"/>
      <c r="P14" s="26"/>
      <c r="Q14" s="47"/>
      <c r="R14" s="26"/>
    </row>
    <row r="15" spans="1:18" ht="15.75" thickBot="1" x14ac:dyDescent="0.3">
      <c r="A15" s="70" t="s">
        <v>95</v>
      </c>
      <c r="B15" s="73">
        <v>3.39</v>
      </c>
      <c r="C15" s="73"/>
      <c r="E15" s="48"/>
      <c r="F15" s="49"/>
      <c r="G15" s="47"/>
      <c r="H15" s="26"/>
      <c r="I15" s="47"/>
      <c r="J15" s="26"/>
      <c r="K15" s="47"/>
      <c r="L15" s="26"/>
      <c r="M15" s="47"/>
      <c r="N15" s="26"/>
      <c r="O15" s="47"/>
      <c r="P15" s="26"/>
      <c r="Q15" s="47"/>
      <c r="R15" s="26"/>
    </row>
    <row r="16" spans="1:18" ht="15.75" thickBot="1" x14ac:dyDescent="0.3">
      <c r="B16" s="6">
        <f>SUM(B13:B15)</f>
        <v>173.23</v>
      </c>
      <c r="C16" s="6">
        <f>B16/5</f>
        <v>34.646000000000001</v>
      </c>
      <c r="E16" s="48"/>
      <c r="F16" s="49"/>
      <c r="G16" s="80">
        <f>C16/2</f>
        <v>17.323</v>
      </c>
      <c r="H16" s="81">
        <f>C16/2</f>
        <v>17.323</v>
      </c>
      <c r="I16" s="80">
        <f t="shared" ref="G16:N16" si="0">G16</f>
        <v>17.323</v>
      </c>
      <c r="J16" s="81">
        <f t="shared" si="0"/>
        <v>17.323</v>
      </c>
      <c r="K16" s="80">
        <f t="shared" si="0"/>
        <v>17.323</v>
      </c>
      <c r="L16" s="81">
        <f t="shared" si="0"/>
        <v>17.323</v>
      </c>
      <c r="M16" s="80">
        <f t="shared" si="0"/>
        <v>17.323</v>
      </c>
      <c r="N16" s="81">
        <f t="shared" si="0"/>
        <v>17.323</v>
      </c>
      <c r="O16" s="205">
        <f t="shared" ref="O16" si="1">M16</f>
        <v>17.323</v>
      </c>
      <c r="P16" s="206">
        <f t="shared" ref="P16" si="2">N16</f>
        <v>17.323</v>
      </c>
      <c r="Q16" s="47"/>
      <c r="R16" s="26"/>
    </row>
    <row r="17" spans="1:18" ht="15.75" thickBot="1" x14ac:dyDescent="0.3">
      <c r="A17" s="65" t="s">
        <v>96</v>
      </c>
      <c r="E17" s="48"/>
      <c r="F17" s="49"/>
      <c r="G17" s="47"/>
      <c r="H17" s="26"/>
      <c r="I17" s="47"/>
      <c r="J17" s="26"/>
      <c r="K17" s="47"/>
      <c r="L17" s="26"/>
      <c r="M17" s="47"/>
      <c r="N17" s="26"/>
      <c r="O17" s="47"/>
      <c r="P17" s="26"/>
      <c r="Q17" s="47"/>
      <c r="R17" s="26"/>
    </row>
    <row r="18" spans="1:18" x14ac:dyDescent="0.25">
      <c r="A18" s="71" t="s">
        <v>97</v>
      </c>
      <c r="B18" s="72">
        <v>76.989999999999995</v>
      </c>
      <c r="C18" s="72"/>
      <c r="E18" s="48"/>
      <c r="F18" s="49"/>
      <c r="G18" s="47"/>
      <c r="H18" s="26"/>
      <c r="I18" s="47"/>
      <c r="J18" s="26"/>
      <c r="K18" s="47"/>
      <c r="L18" s="26"/>
      <c r="M18" s="47"/>
      <c r="N18" s="26"/>
      <c r="O18" s="47"/>
      <c r="P18" s="26"/>
      <c r="Q18" s="47"/>
      <c r="R18" s="26"/>
    </row>
    <row r="19" spans="1:18" x14ac:dyDescent="0.25">
      <c r="A19" s="69" t="s">
        <v>98</v>
      </c>
      <c r="B19" s="58">
        <v>84.23</v>
      </c>
      <c r="C19" s="58"/>
      <c r="E19" s="48"/>
      <c r="F19" s="49"/>
      <c r="G19" s="47"/>
      <c r="H19" s="26"/>
      <c r="I19" s="47"/>
      <c r="J19" s="26"/>
      <c r="K19" s="47"/>
      <c r="L19" s="26"/>
      <c r="M19" s="47"/>
      <c r="N19" s="26"/>
      <c r="O19" s="47"/>
      <c r="P19" s="26"/>
      <c r="Q19" s="47"/>
      <c r="R19" s="26"/>
    </row>
    <row r="20" spans="1:18" ht="15.75" thickBot="1" x14ac:dyDescent="0.3">
      <c r="A20" s="70" t="s">
        <v>99</v>
      </c>
      <c r="B20" s="73">
        <v>129.97999999999999</v>
      </c>
      <c r="C20" s="73"/>
      <c r="E20" s="48"/>
      <c r="F20" s="49"/>
      <c r="G20" s="47"/>
      <c r="H20" s="26"/>
      <c r="I20" s="47"/>
      <c r="J20" s="26"/>
      <c r="K20" s="47"/>
      <c r="L20" s="26"/>
      <c r="M20" s="47"/>
      <c r="N20" s="26"/>
      <c r="O20" s="47"/>
      <c r="P20" s="26"/>
      <c r="Q20" s="47"/>
      <c r="R20" s="26"/>
    </row>
    <row r="21" spans="1:18" ht="15.75" thickBot="1" x14ac:dyDescent="0.3">
      <c r="B21" s="6">
        <f>SUM(B18:B20)</f>
        <v>291.2</v>
      </c>
      <c r="C21" s="6">
        <f>B21/6+2.07</f>
        <v>50.603333333333332</v>
      </c>
      <c r="E21" s="76">
        <f>C21/2</f>
        <v>25.301666666666666</v>
      </c>
      <c r="F21" s="77">
        <f>E21</f>
        <v>25.301666666666666</v>
      </c>
      <c r="G21" s="80">
        <f>E21</f>
        <v>25.301666666666666</v>
      </c>
      <c r="H21" s="81">
        <f>F21</f>
        <v>25.301666666666666</v>
      </c>
      <c r="I21" s="80">
        <f>G21</f>
        <v>25.301666666666666</v>
      </c>
      <c r="J21" s="81">
        <f>H21</f>
        <v>25.301666666666666</v>
      </c>
      <c r="K21" s="80">
        <f>I21</f>
        <v>25.301666666666666</v>
      </c>
      <c r="L21" s="81">
        <f>J21</f>
        <v>25.301666666666666</v>
      </c>
      <c r="M21" s="80">
        <f>K21</f>
        <v>25.301666666666666</v>
      </c>
      <c r="N21" s="81">
        <f>L21</f>
        <v>25.301666666666666</v>
      </c>
      <c r="O21" s="52">
        <f>M21</f>
        <v>25.301666666666666</v>
      </c>
      <c r="P21" s="53">
        <f>N21</f>
        <v>25.301666666666666</v>
      </c>
      <c r="Q21" s="47"/>
      <c r="R21" s="26"/>
    </row>
    <row r="22" spans="1:18" ht="15.75" thickBot="1" x14ac:dyDescent="0.3">
      <c r="B22" s="130"/>
      <c r="C22" s="130"/>
      <c r="E22" s="108"/>
      <c r="F22" s="109"/>
      <c r="G22" s="54"/>
      <c r="H22" s="33"/>
      <c r="I22" s="54"/>
      <c r="J22" s="33"/>
      <c r="K22" s="54"/>
      <c r="L22" s="33"/>
      <c r="M22" s="54"/>
      <c r="N22" s="33"/>
      <c r="O22" s="54"/>
      <c r="P22" s="33"/>
      <c r="Q22" s="54"/>
      <c r="R22" s="33"/>
    </row>
    <row r="23" spans="1:18" ht="15.75" thickBot="1" x14ac:dyDescent="0.3">
      <c r="A23" s="132" t="s">
        <v>121</v>
      </c>
      <c r="B23" s="118">
        <v>370</v>
      </c>
      <c r="C23" s="118"/>
      <c r="E23" s="48"/>
      <c r="F23" s="49"/>
      <c r="G23" s="47"/>
      <c r="H23" s="26"/>
      <c r="I23" s="47"/>
      <c r="J23" s="26"/>
      <c r="K23" s="80">
        <f>B23/2</f>
        <v>185</v>
      </c>
      <c r="L23" s="26"/>
      <c r="M23" s="52"/>
      <c r="N23" s="81">
        <f>B23/2</f>
        <v>185</v>
      </c>
      <c r="O23" s="47"/>
      <c r="P23" s="26"/>
      <c r="Q23" s="47"/>
      <c r="R23" s="26"/>
    </row>
    <row r="24" spans="1:18" ht="15.75" thickBot="1" x14ac:dyDescent="0.3">
      <c r="B24" s="130"/>
      <c r="C24" s="130"/>
      <c r="E24" s="108"/>
      <c r="F24" s="109"/>
      <c r="G24" s="54"/>
      <c r="H24" s="33"/>
      <c r="I24" s="54"/>
      <c r="J24" s="33"/>
      <c r="K24" s="54"/>
      <c r="L24" s="33"/>
      <c r="M24" s="54"/>
      <c r="N24" s="33"/>
      <c r="O24" s="54"/>
      <c r="P24" s="33"/>
      <c r="Q24" s="54"/>
      <c r="R24" s="33"/>
    </row>
    <row r="25" spans="1:18" ht="15.75" thickBot="1" x14ac:dyDescent="0.3">
      <c r="A25" s="132" t="s">
        <v>125</v>
      </c>
      <c r="B25" s="118">
        <f>B59</f>
        <v>145.96</v>
      </c>
      <c r="C25" s="118"/>
      <c r="E25" s="48"/>
      <c r="F25" s="49"/>
      <c r="G25" s="47"/>
      <c r="H25" s="26"/>
      <c r="I25" s="47"/>
      <c r="J25" s="26"/>
      <c r="K25" s="52"/>
      <c r="L25" s="26"/>
      <c r="M25" s="52"/>
      <c r="N25" s="81">
        <f>B25/2</f>
        <v>72.98</v>
      </c>
      <c r="O25" s="47"/>
      <c r="P25" s="26"/>
      <c r="Q25" s="47"/>
      <c r="R25" s="26"/>
    </row>
    <row r="26" spans="1:18" ht="15.75" thickBot="1" x14ac:dyDescent="0.3">
      <c r="B26" s="130"/>
      <c r="C26" s="130"/>
      <c r="E26" s="108"/>
      <c r="F26" s="109"/>
      <c r="G26" s="54"/>
      <c r="H26" s="33"/>
      <c r="I26" s="54"/>
      <c r="J26" s="33"/>
      <c r="K26" s="54"/>
      <c r="L26" s="33"/>
      <c r="M26" s="54"/>
      <c r="N26" s="33"/>
      <c r="O26" s="54"/>
      <c r="P26" s="33"/>
      <c r="Q26" s="54"/>
      <c r="R26" s="33"/>
    </row>
    <row r="27" spans="1:18" ht="15.75" thickBot="1" x14ac:dyDescent="0.3">
      <c r="A27" s="132" t="s">
        <v>126</v>
      </c>
      <c r="B27" s="118">
        <v>20.02</v>
      </c>
      <c r="C27" s="118"/>
      <c r="E27" s="131"/>
      <c r="F27" s="128"/>
      <c r="G27" s="50"/>
      <c r="H27" s="51"/>
      <c r="I27" s="50"/>
      <c r="J27" s="51"/>
      <c r="K27" s="166"/>
      <c r="L27" s="51"/>
      <c r="M27" s="166"/>
      <c r="N27" s="133">
        <v>20.02</v>
      </c>
      <c r="O27" s="50"/>
      <c r="P27" s="51"/>
      <c r="Q27" s="50"/>
      <c r="R27" s="51"/>
    </row>
    <row r="29" spans="1:18" s="1" customFormat="1" x14ac:dyDescent="0.25">
      <c r="E29"/>
      <c r="F29"/>
      <c r="G29" s="82">
        <f t="shared" ref="E29:R29" si="3">SUM(G7:G21)</f>
        <v>193.9846666666667</v>
      </c>
      <c r="H29" s="82">
        <f t="shared" si="3"/>
        <v>193.9846666666667</v>
      </c>
      <c r="I29" s="82">
        <f t="shared" si="3"/>
        <v>193.9846666666667</v>
      </c>
      <c r="J29" s="82">
        <f t="shared" si="3"/>
        <v>71.939666666666668</v>
      </c>
      <c r="K29" s="82">
        <f>SUM(K7:K23)</f>
        <v>378.98466666666673</v>
      </c>
      <c r="L29" s="82">
        <f t="shared" si="3"/>
        <v>71.939666666666668</v>
      </c>
      <c r="M29" s="82">
        <f>SUM(M7:M23)</f>
        <v>42.62466666666667</v>
      </c>
      <c r="N29" s="82">
        <f>SUM(N7:N27)</f>
        <v>320.62466666666666</v>
      </c>
      <c r="O29" s="41">
        <f t="shared" si="3"/>
        <v>42.62466666666667</v>
      </c>
      <c r="P29" s="41">
        <f t="shared" si="3"/>
        <v>42.62466666666667</v>
      </c>
      <c r="Q29" s="41">
        <f t="shared" si="3"/>
        <v>0</v>
      </c>
      <c r="R29" s="41">
        <f t="shared" si="3"/>
        <v>0</v>
      </c>
    </row>
    <row r="30" spans="1:18" x14ac:dyDescent="0.25">
      <c r="H30" s="2">
        <v>454.82999999999993</v>
      </c>
      <c r="J30" s="2">
        <v>454.82999999999993</v>
      </c>
      <c r="L30" s="2">
        <v>454.82999999999993</v>
      </c>
      <c r="N30" s="2">
        <f>Spese!F18</f>
        <v>399.30499999999995</v>
      </c>
      <c r="P30" s="2">
        <f>Spese!F18</f>
        <v>399.30499999999995</v>
      </c>
      <c r="R30" s="2">
        <f>Spese!F18</f>
        <v>399.30499999999995</v>
      </c>
    </row>
    <row r="31" spans="1:18" x14ac:dyDescent="0.25">
      <c r="H31" s="2">
        <f>H29+H30</f>
        <v>648.81466666666665</v>
      </c>
      <c r="J31" s="2">
        <f>J29+J30</f>
        <v>526.76966666666658</v>
      </c>
      <c r="L31" s="2">
        <f>L29+L30+47.89</f>
        <v>574.65966666666657</v>
      </c>
      <c r="N31" s="2">
        <f>N29+N30</f>
        <v>719.92966666666666</v>
      </c>
      <c r="P31" s="2">
        <f>P29+P30</f>
        <v>441.92966666666661</v>
      </c>
      <c r="R31" s="2">
        <f>R29+R30</f>
        <v>399.30499999999995</v>
      </c>
    </row>
    <row r="32" spans="1:18" ht="18.75" x14ac:dyDescent="0.3">
      <c r="A32" s="202" t="s">
        <v>100</v>
      </c>
      <c r="B32" s="202"/>
      <c r="C32" s="202"/>
    </row>
    <row r="33" spans="1:13" ht="15.75" thickBot="1" x14ac:dyDescent="0.3"/>
    <row r="34" spans="1:13" ht="15.75" thickBot="1" x14ac:dyDescent="0.3">
      <c r="E34" s="93" t="s">
        <v>45</v>
      </c>
      <c r="F34" s="61" t="s">
        <v>46</v>
      </c>
      <c r="G34" s="139" t="s">
        <v>47</v>
      </c>
      <c r="H34" s="61" t="s">
        <v>48</v>
      </c>
      <c r="I34" s="139" t="s">
        <v>49</v>
      </c>
      <c r="J34" s="61" t="s">
        <v>50</v>
      </c>
      <c r="K34" s="139" t="s">
        <v>51</v>
      </c>
      <c r="L34" s="92" t="s">
        <v>52</v>
      </c>
      <c r="M34" s="157" t="s">
        <v>53</v>
      </c>
    </row>
    <row r="35" spans="1:13" ht="15.75" thickBot="1" x14ac:dyDescent="0.3">
      <c r="A35" s="65" t="s">
        <v>88</v>
      </c>
      <c r="B35" s="62" t="s">
        <v>81</v>
      </c>
      <c r="C35" s="134" t="s">
        <v>89</v>
      </c>
      <c r="E35" s="91"/>
      <c r="F35" s="60"/>
      <c r="G35" s="140"/>
      <c r="H35" s="60"/>
      <c r="I35" s="140"/>
      <c r="J35" s="60"/>
      <c r="K35" s="140"/>
      <c r="L35" s="100"/>
      <c r="M35" s="158"/>
    </row>
    <row r="36" spans="1:13" x14ac:dyDescent="0.25">
      <c r="A36" s="60"/>
      <c r="B36" s="67"/>
      <c r="C36" s="135"/>
      <c r="E36" s="69"/>
      <c r="F36" s="57"/>
      <c r="G36" s="141"/>
      <c r="H36" s="57"/>
      <c r="I36" s="141"/>
      <c r="J36" s="57"/>
      <c r="K36" s="141"/>
      <c r="L36" s="57"/>
      <c r="M36" s="159"/>
    </row>
    <row r="37" spans="1:13" x14ac:dyDescent="0.25">
      <c r="A37" s="57" t="s">
        <v>101</v>
      </c>
      <c r="B37" s="58">
        <v>135</v>
      </c>
      <c r="C37" s="136">
        <f>B37/3</f>
        <v>45</v>
      </c>
      <c r="E37" s="94">
        <f>C37</f>
        <v>45</v>
      </c>
      <c r="F37" s="144">
        <f>E37</f>
        <v>45</v>
      </c>
      <c r="G37" s="142">
        <f>F37</f>
        <v>45</v>
      </c>
      <c r="H37" s="57"/>
      <c r="I37" s="141"/>
      <c r="J37" s="57"/>
      <c r="K37" s="141"/>
      <c r="L37" s="57"/>
      <c r="M37" s="159"/>
    </row>
    <row r="38" spans="1:13" x14ac:dyDescent="0.25">
      <c r="A38" s="57"/>
      <c r="B38" s="58"/>
      <c r="C38" s="136"/>
      <c r="E38" s="69"/>
      <c r="F38" s="57"/>
      <c r="G38" s="141"/>
      <c r="H38" s="57"/>
      <c r="I38" s="141"/>
      <c r="J38" s="57"/>
      <c r="K38" s="141"/>
      <c r="L38" s="57"/>
      <c r="M38" s="159"/>
    </row>
    <row r="39" spans="1:13" x14ac:dyDescent="0.25">
      <c r="A39" s="57" t="s">
        <v>102</v>
      </c>
      <c r="B39" s="58">
        <v>52</v>
      </c>
      <c r="C39" s="136">
        <f>B39/3</f>
        <v>17.333333333333332</v>
      </c>
      <c r="E39" s="95">
        <f>C39</f>
        <v>17.333333333333332</v>
      </c>
      <c r="F39" s="144">
        <f>E39</f>
        <v>17.333333333333332</v>
      </c>
      <c r="G39" s="142">
        <f>F39</f>
        <v>17.333333333333332</v>
      </c>
      <c r="H39" s="57"/>
      <c r="I39" s="141"/>
      <c r="J39" s="57"/>
      <c r="K39" s="141"/>
      <c r="L39" s="57"/>
      <c r="M39" s="159"/>
    </row>
    <row r="40" spans="1:13" x14ac:dyDescent="0.25">
      <c r="A40" s="57"/>
      <c r="B40" s="58"/>
      <c r="C40" s="136"/>
      <c r="E40" s="96"/>
      <c r="F40" s="145"/>
      <c r="G40" s="141"/>
      <c r="H40" s="57"/>
      <c r="I40" s="141"/>
      <c r="J40" s="57"/>
      <c r="K40" s="141"/>
      <c r="L40" s="57"/>
      <c r="M40" s="159"/>
    </row>
    <row r="41" spans="1:13" x14ac:dyDescent="0.25">
      <c r="A41" s="57" t="s">
        <v>103</v>
      </c>
      <c r="B41" s="58">
        <v>150</v>
      </c>
      <c r="C41" s="136">
        <f>B41/3</f>
        <v>50</v>
      </c>
      <c r="E41" s="96"/>
      <c r="F41" s="144">
        <f>C41</f>
        <v>50</v>
      </c>
      <c r="G41" s="142">
        <f>F41</f>
        <v>50</v>
      </c>
      <c r="H41" s="144">
        <f>G41</f>
        <v>50</v>
      </c>
      <c r="I41" s="141"/>
      <c r="J41" s="57"/>
      <c r="K41" s="141"/>
      <c r="L41" s="57"/>
      <c r="M41" s="159"/>
    </row>
    <row r="42" spans="1:13" x14ac:dyDescent="0.25">
      <c r="A42" s="57"/>
      <c r="B42" s="58"/>
      <c r="C42" s="136"/>
      <c r="E42" s="69"/>
      <c r="F42" s="57"/>
      <c r="G42" s="141"/>
      <c r="H42" s="57"/>
      <c r="I42" s="141"/>
      <c r="J42" s="57"/>
      <c r="K42" s="141"/>
      <c r="L42" s="57"/>
      <c r="M42" s="159"/>
    </row>
    <row r="43" spans="1:13" x14ac:dyDescent="0.25">
      <c r="A43" s="57" t="s">
        <v>104</v>
      </c>
      <c r="B43" s="58">
        <v>80</v>
      </c>
      <c r="C43" s="136">
        <f>B43/3</f>
        <v>26.666666666666668</v>
      </c>
      <c r="E43" s="69"/>
      <c r="F43" s="144">
        <f>C43</f>
        <v>26.666666666666668</v>
      </c>
      <c r="G43" s="142">
        <f>F43</f>
        <v>26.666666666666668</v>
      </c>
      <c r="H43" s="144">
        <f>G43</f>
        <v>26.666666666666668</v>
      </c>
      <c r="I43" s="141"/>
      <c r="J43" s="57"/>
      <c r="K43" s="141"/>
      <c r="L43" s="57"/>
      <c r="M43" s="159"/>
    </row>
    <row r="44" spans="1:13" x14ac:dyDescent="0.25">
      <c r="A44" s="57"/>
      <c r="B44" s="58"/>
      <c r="C44" s="136"/>
      <c r="E44" s="69"/>
      <c r="F44" s="57"/>
      <c r="G44" s="141"/>
      <c r="H44" s="57"/>
      <c r="I44" s="141"/>
      <c r="J44" s="57"/>
      <c r="K44" s="141"/>
      <c r="L44" s="57"/>
      <c r="M44" s="159"/>
    </row>
    <row r="45" spans="1:13" x14ac:dyDescent="0.25">
      <c r="A45" s="57" t="s">
        <v>104</v>
      </c>
      <c r="B45" s="58">
        <v>77</v>
      </c>
      <c r="C45" s="136">
        <f>B45/3</f>
        <v>25.666666666666668</v>
      </c>
      <c r="E45" s="69"/>
      <c r="F45" s="57"/>
      <c r="G45" s="142">
        <f>C45</f>
        <v>25.666666666666668</v>
      </c>
      <c r="H45" s="144">
        <f>G45</f>
        <v>25.666666666666668</v>
      </c>
      <c r="I45" s="147">
        <f>H45</f>
        <v>25.666666666666668</v>
      </c>
      <c r="J45" s="57"/>
      <c r="K45" s="141"/>
      <c r="L45" s="57"/>
      <c r="M45" s="159"/>
    </row>
    <row r="46" spans="1:13" x14ac:dyDescent="0.25">
      <c r="A46" s="57"/>
      <c r="B46" s="58"/>
      <c r="C46" s="136"/>
      <c r="E46" s="69"/>
      <c r="F46" s="57"/>
      <c r="G46" s="141"/>
      <c r="H46" s="57"/>
      <c r="I46" s="141"/>
      <c r="J46" s="57"/>
      <c r="K46" s="141"/>
      <c r="L46" s="57"/>
      <c r="M46" s="159"/>
    </row>
    <row r="47" spans="1:13" x14ac:dyDescent="0.25">
      <c r="A47" s="89" t="s">
        <v>105</v>
      </c>
      <c r="B47" s="90">
        <v>146.6</v>
      </c>
      <c r="C47" s="137">
        <f>B47/3</f>
        <v>48.866666666666667</v>
      </c>
      <c r="E47" s="97"/>
      <c r="F47" s="89"/>
      <c r="G47" s="143"/>
      <c r="H47" s="150">
        <f>C47</f>
        <v>48.866666666666667</v>
      </c>
      <c r="I47" s="147">
        <f>H47</f>
        <v>48.866666666666667</v>
      </c>
      <c r="J47" s="150">
        <f>I47</f>
        <v>48.866666666666667</v>
      </c>
      <c r="K47" s="141"/>
      <c r="L47" s="57"/>
      <c r="M47" s="159"/>
    </row>
    <row r="48" spans="1:13" x14ac:dyDescent="0.25">
      <c r="A48" s="57"/>
      <c r="B48" s="58"/>
      <c r="C48" s="136"/>
      <c r="E48" s="69"/>
      <c r="F48" s="57"/>
      <c r="G48" s="141"/>
      <c r="H48" s="145"/>
      <c r="I48" s="148"/>
      <c r="J48" s="145"/>
      <c r="K48" s="141"/>
      <c r="L48" s="57"/>
      <c r="M48" s="159"/>
    </row>
    <row r="49" spans="1:13" x14ac:dyDescent="0.25">
      <c r="A49" s="57" t="s">
        <v>106</v>
      </c>
      <c r="B49" s="58">
        <v>65.739999999999995</v>
      </c>
      <c r="C49" s="136">
        <v>21.91</v>
      </c>
      <c r="E49" s="69"/>
      <c r="F49" s="57"/>
      <c r="G49" s="141"/>
      <c r="H49" s="144">
        <v>21.91</v>
      </c>
      <c r="I49" s="142">
        <v>21.91</v>
      </c>
      <c r="J49" s="144">
        <v>21.91</v>
      </c>
      <c r="K49" s="141"/>
      <c r="L49" s="57"/>
      <c r="M49" s="159"/>
    </row>
    <row r="50" spans="1:13" x14ac:dyDescent="0.25">
      <c r="A50" s="57"/>
      <c r="B50" s="58"/>
      <c r="C50" s="136"/>
      <c r="E50" s="69"/>
      <c r="F50" s="57"/>
      <c r="G50" s="141"/>
      <c r="H50" s="145"/>
      <c r="I50" s="148"/>
      <c r="J50" s="145"/>
      <c r="K50" s="141"/>
      <c r="L50" s="57"/>
      <c r="M50" s="159"/>
    </row>
    <row r="51" spans="1:13" x14ac:dyDescent="0.25">
      <c r="A51" s="57" t="s">
        <v>107</v>
      </c>
      <c r="B51" s="58">
        <v>65</v>
      </c>
      <c r="C51" s="136">
        <v>21.66</v>
      </c>
      <c r="E51" s="69"/>
      <c r="F51" s="57"/>
      <c r="G51" s="141"/>
      <c r="H51" s="145"/>
      <c r="I51" s="142">
        <v>21.66</v>
      </c>
      <c r="J51" s="144">
        <v>21.67</v>
      </c>
      <c r="K51" s="153">
        <v>21.67</v>
      </c>
      <c r="L51" s="57"/>
      <c r="M51" s="159"/>
    </row>
    <row r="52" spans="1:13" x14ac:dyDescent="0.25">
      <c r="A52" s="57"/>
      <c r="B52" s="58"/>
      <c r="C52" s="136"/>
      <c r="E52" s="69"/>
      <c r="F52" s="57"/>
      <c r="G52" s="141"/>
      <c r="H52" s="145"/>
      <c r="I52" s="148"/>
      <c r="J52" s="145"/>
      <c r="K52" s="141"/>
      <c r="L52" s="57"/>
      <c r="M52" s="159"/>
    </row>
    <row r="53" spans="1:13" x14ac:dyDescent="0.25">
      <c r="A53" s="57" t="s">
        <v>108</v>
      </c>
      <c r="B53" s="58">
        <v>365.4</v>
      </c>
      <c r="C53" s="136">
        <v>121.78</v>
      </c>
      <c r="E53" s="69"/>
      <c r="F53" s="57"/>
      <c r="G53" s="141"/>
      <c r="H53" s="145"/>
      <c r="I53" s="142">
        <v>121.78</v>
      </c>
      <c r="J53" s="144">
        <v>121.81</v>
      </c>
      <c r="K53" s="154">
        <v>121.81</v>
      </c>
      <c r="L53" s="57"/>
      <c r="M53" s="159"/>
    </row>
    <row r="54" spans="1:13" x14ac:dyDescent="0.25">
      <c r="A54" s="60"/>
      <c r="B54" s="67"/>
      <c r="C54" s="135"/>
      <c r="E54" s="91"/>
      <c r="F54" s="60"/>
      <c r="G54" s="140"/>
      <c r="H54" s="151"/>
      <c r="I54" s="149"/>
      <c r="J54" s="151"/>
      <c r="K54" s="140"/>
      <c r="L54" s="60"/>
      <c r="M54" s="160"/>
    </row>
    <row r="55" spans="1:13" x14ac:dyDescent="0.25">
      <c r="A55" s="89" t="s">
        <v>118</v>
      </c>
      <c r="B55" s="90">
        <v>81</v>
      </c>
      <c r="C55" s="137">
        <f>B55/3</f>
        <v>27</v>
      </c>
      <c r="E55" s="97"/>
      <c r="F55" s="89"/>
      <c r="G55" s="143"/>
      <c r="H55" s="152"/>
      <c r="I55" s="147">
        <v>27</v>
      </c>
      <c r="J55" s="150">
        <v>27</v>
      </c>
      <c r="K55" s="155">
        <v>27</v>
      </c>
      <c r="L55" s="89"/>
      <c r="M55" s="161"/>
    </row>
    <row r="56" spans="1:13" x14ac:dyDescent="0.25">
      <c r="A56" s="57"/>
      <c r="B56" s="58"/>
      <c r="C56" s="136"/>
      <c r="E56" s="69"/>
      <c r="F56" s="57"/>
      <c r="G56" s="141"/>
      <c r="H56" s="145"/>
      <c r="I56" s="148"/>
      <c r="J56" s="145"/>
      <c r="K56" s="156"/>
      <c r="L56" s="57"/>
      <c r="M56" s="159"/>
    </row>
    <row r="57" spans="1:13" x14ac:dyDescent="0.25">
      <c r="A57" s="57" t="s">
        <v>124</v>
      </c>
      <c r="B57" s="58">
        <v>78.06</v>
      </c>
      <c r="C57" s="136">
        <f>B57/3</f>
        <v>26.02</v>
      </c>
      <c r="E57" s="69"/>
      <c r="F57" s="57"/>
      <c r="G57" s="141"/>
      <c r="H57" s="145"/>
      <c r="I57" s="148"/>
      <c r="J57" s="145"/>
      <c r="K57" s="153">
        <f>C57</f>
        <v>26.02</v>
      </c>
      <c r="L57" s="145">
        <f>C57</f>
        <v>26.02</v>
      </c>
      <c r="M57" s="162">
        <f>C57</f>
        <v>26.02</v>
      </c>
    </row>
    <row r="58" spans="1:13" x14ac:dyDescent="0.25">
      <c r="A58" s="57"/>
      <c r="B58" s="58"/>
      <c r="C58" s="136"/>
      <c r="E58" s="69"/>
      <c r="F58" s="57"/>
      <c r="G58" s="141"/>
      <c r="H58" s="145"/>
      <c r="I58" s="148"/>
      <c r="J58" s="145"/>
      <c r="K58" s="156"/>
      <c r="L58" s="57"/>
      <c r="M58" s="159"/>
    </row>
    <row r="59" spans="1:13" x14ac:dyDescent="0.25">
      <c r="A59" s="57" t="s">
        <v>125</v>
      </c>
      <c r="B59" s="58">
        <v>145.96</v>
      </c>
      <c r="C59" s="136">
        <f>B59/3</f>
        <v>48.653333333333336</v>
      </c>
      <c r="E59" s="69"/>
      <c r="F59" s="57"/>
      <c r="G59" s="141"/>
      <c r="H59" s="145"/>
      <c r="I59" s="148"/>
      <c r="J59" s="145"/>
      <c r="K59" s="153">
        <f>C59</f>
        <v>48.653333333333336</v>
      </c>
      <c r="L59" s="145">
        <f>C59</f>
        <v>48.653333333333336</v>
      </c>
      <c r="M59" s="162">
        <f>C59</f>
        <v>48.653333333333336</v>
      </c>
    </row>
    <row r="60" spans="1:13" x14ac:dyDescent="0.25">
      <c r="A60" s="57"/>
      <c r="B60" s="58"/>
      <c r="C60" s="136"/>
      <c r="E60" s="69"/>
      <c r="F60" s="57"/>
      <c r="G60" s="141"/>
      <c r="H60" s="57"/>
      <c r="I60" s="141"/>
      <c r="J60" s="57"/>
      <c r="K60" s="141"/>
      <c r="L60" s="57"/>
      <c r="M60" s="159"/>
    </row>
    <row r="61" spans="1:13" ht="15.75" thickBot="1" x14ac:dyDescent="0.3">
      <c r="A61" s="59" t="s">
        <v>62</v>
      </c>
      <c r="B61" s="74">
        <v>80.42</v>
      </c>
      <c r="C61" s="138">
        <f>B61/3</f>
        <v>26.806666666666668</v>
      </c>
      <c r="E61" s="70"/>
      <c r="F61" s="59"/>
      <c r="G61" s="146"/>
      <c r="H61" s="59"/>
      <c r="I61" s="146"/>
      <c r="J61" s="59"/>
      <c r="K61" s="165">
        <f>C61</f>
        <v>26.806666666666668</v>
      </c>
      <c r="L61" s="164">
        <f>C61</f>
        <v>26.806666666666668</v>
      </c>
      <c r="M61" s="163">
        <f>C61</f>
        <v>26.806666666666668</v>
      </c>
    </row>
    <row r="63" spans="1:13" x14ac:dyDescent="0.25">
      <c r="E63" s="83">
        <f t="shared" ref="E63:G63" si="4">SUM(E37:E47)</f>
        <v>62.333333333333329</v>
      </c>
      <c r="F63" s="83">
        <f t="shared" si="4"/>
        <v>139</v>
      </c>
      <c r="G63" s="83">
        <f t="shared" si="4"/>
        <v>164.66666666666666</v>
      </c>
      <c r="H63" s="83">
        <f t="shared" ref="H63" si="5">SUM(H37:H53)</f>
        <v>173.11</v>
      </c>
      <c r="I63" s="83">
        <f>SUM(I37:I55)</f>
        <v>266.88333333333333</v>
      </c>
      <c r="J63" s="83">
        <f>SUM(J37:J55)</f>
        <v>241.25666666666666</v>
      </c>
      <c r="K63" s="83">
        <f>SUM(K37:K61)</f>
        <v>271.96000000000004</v>
      </c>
      <c r="L63" s="42">
        <f>SUM(L37:L61)</f>
        <v>101.48</v>
      </c>
      <c r="M63" s="42">
        <f>SUM(M37:M61)</f>
        <v>101.48</v>
      </c>
    </row>
    <row r="64" spans="1:13" ht="15.75" thickBot="1" x14ac:dyDescent="0.3"/>
    <row r="65" spans="1:13" ht="15.75" thickBot="1" x14ac:dyDescent="0.3">
      <c r="E65" s="61" t="s">
        <v>45</v>
      </c>
      <c r="F65" s="61" t="s">
        <v>46</v>
      </c>
      <c r="G65" s="61" t="s">
        <v>47</v>
      </c>
      <c r="H65" s="61" t="s">
        <v>48</v>
      </c>
      <c r="I65" s="61" t="s">
        <v>49</v>
      </c>
      <c r="J65" s="61" t="s">
        <v>50</v>
      </c>
      <c r="K65" s="61" t="s">
        <v>51</v>
      </c>
      <c r="L65" s="61" t="s">
        <v>52</v>
      </c>
      <c r="M65" s="61" t="s">
        <v>53</v>
      </c>
    </row>
    <row r="66" spans="1:13" ht="6.75" customHeight="1" thickBot="1" x14ac:dyDescent="0.3"/>
    <row r="67" spans="1:13" ht="15.75" thickBot="1" x14ac:dyDescent="0.3">
      <c r="A67" s="65" t="s">
        <v>109</v>
      </c>
      <c r="E67" s="75">
        <f>E63</f>
        <v>62.333333333333329</v>
      </c>
      <c r="F67" s="75">
        <f>F63</f>
        <v>139</v>
      </c>
      <c r="G67" s="75">
        <f>E29+G63</f>
        <v>164.66666666666666</v>
      </c>
      <c r="H67" s="75">
        <f>G29+H63</f>
        <v>367.09466666666674</v>
      </c>
      <c r="I67" s="75">
        <f>I29+I63</f>
        <v>460.86800000000005</v>
      </c>
      <c r="J67" s="75">
        <f>K29+J63</f>
        <v>620.24133333333339</v>
      </c>
      <c r="K67" s="75">
        <f>M29+K63</f>
        <v>314.58466666666669</v>
      </c>
      <c r="L67" s="46">
        <f>O29</f>
        <v>42.62466666666667</v>
      </c>
      <c r="M67" s="46">
        <f>R29</f>
        <v>0</v>
      </c>
    </row>
  </sheetData>
  <mergeCells count="9">
    <mergeCell ref="Q5:R5"/>
    <mergeCell ref="A3:C3"/>
    <mergeCell ref="A32:C32"/>
    <mergeCell ref="E5:F5"/>
    <mergeCell ref="G5:H5"/>
    <mergeCell ref="I5:J5"/>
    <mergeCell ref="K5:L5"/>
    <mergeCell ref="M5:N5"/>
    <mergeCell ref="O5:P5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93B0-D7B9-419D-9106-D274D1E26556}">
  <dimension ref="A4:C18"/>
  <sheetViews>
    <sheetView workbookViewId="0">
      <selection activeCell="E32" sqref="E32"/>
    </sheetView>
  </sheetViews>
  <sheetFormatPr defaultRowHeight="15" x14ac:dyDescent="0.25"/>
  <sheetData>
    <row r="4" spans="1:3" ht="15.75" thickBot="1" x14ac:dyDescent="0.3"/>
    <row r="5" spans="1:3" ht="15.75" thickBot="1" x14ac:dyDescent="0.3">
      <c r="B5" s="106" t="s">
        <v>113</v>
      </c>
      <c r="C5" s="107" t="s">
        <v>114</v>
      </c>
    </row>
    <row r="6" spans="1:3" x14ac:dyDescent="0.25">
      <c r="A6" s="103">
        <v>46204</v>
      </c>
      <c r="B6" s="108">
        <v>50</v>
      </c>
      <c r="C6" s="109">
        <v>0</v>
      </c>
    </row>
    <row r="7" spans="1:3" x14ac:dyDescent="0.25">
      <c r="A7" s="104">
        <v>46235</v>
      </c>
      <c r="B7" s="48"/>
      <c r="C7" s="49"/>
    </row>
    <row r="8" spans="1:3" x14ac:dyDescent="0.25">
      <c r="A8" s="104">
        <v>46266</v>
      </c>
      <c r="B8" s="48"/>
      <c r="C8" s="49"/>
    </row>
    <row r="9" spans="1:3" x14ac:dyDescent="0.25">
      <c r="A9" s="104">
        <v>46296</v>
      </c>
      <c r="B9" s="48"/>
      <c r="C9" s="49"/>
    </row>
    <row r="10" spans="1:3" x14ac:dyDescent="0.25">
      <c r="A10" s="104">
        <v>46327</v>
      </c>
      <c r="B10" s="48"/>
      <c r="C10" s="49"/>
    </row>
    <row r="11" spans="1:3" x14ac:dyDescent="0.25">
      <c r="A11" s="104">
        <v>46357</v>
      </c>
      <c r="B11" s="48"/>
      <c r="C11" s="49"/>
    </row>
    <row r="12" spans="1:3" x14ac:dyDescent="0.25">
      <c r="A12" s="104">
        <v>46388</v>
      </c>
      <c r="B12" s="48"/>
      <c r="C12" s="49"/>
    </row>
    <row r="13" spans="1:3" x14ac:dyDescent="0.25">
      <c r="A13" s="104">
        <v>46419</v>
      </c>
      <c r="B13" s="48"/>
      <c r="C13" s="49"/>
    </row>
    <row r="14" spans="1:3" x14ac:dyDescent="0.25">
      <c r="A14" s="104">
        <v>46447</v>
      </c>
      <c r="B14" s="48"/>
      <c r="C14" s="49"/>
    </row>
    <row r="15" spans="1:3" x14ac:dyDescent="0.25">
      <c r="A15" s="104">
        <v>46478</v>
      </c>
      <c r="B15" s="48"/>
      <c r="C15" s="49"/>
    </row>
    <row r="16" spans="1:3" x14ac:dyDescent="0.25">
      <c r="A16" s="104">
        <v>46508</v>
      </c>
      <c r="B16" s="48"/>
      <c r="C16" s="49"/>
    </row>
    <row r="17" spans="1:3" ht="15.75" thickBot="1" x14ac:dyDescent="0.3">
      <c r="A17" s="105">
        <v>46539</v>
      </c>
      <c r="B17" s="110"/>
      <c r="C17" s="111"/>
    </row>
    <row r="18" spans="1:3" ht="18.75" x14ac:dyDescent="0.3">
      <c r="A18" s="102" t="s">
        <v>115</v>
      </c>
      <c r="B18" s="203">
        <f>SUM(B6:C17)</f>
        <v>50</v>
      </c>
      <c r="C18" s="204"/>
    </row>
  </sheetData>
  <mergeCells count="1">
    <mergeCell ref="B18:C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F59E-9EC3-4865-9ED4-194ADD0BD581}">
  <dimension ref="A2:F16"/>
  <sheetViews>
    <sheetView workbookViewId="0">
      <selection activeCell="F33" sqref="F33"/>
    </sheetView>
  </sheetViews>
  <sheetFormatPr defaultRowHeight="15" x14ac:dyDescent="0.25"/>
  <cols>
    <col min="2" max="2" width="11.28515625" bestFit="1" customWidth="1"/>
    <col min="3" max="3" width="9.42578125" style="1" bestFit="1" customWidth="1"/>
    <col min="4" max="4" width="9.42578125" style="7" bestFit="1" customWidth="1"/>
    <col min="5" max="5" width="13.42578125" style="7" bestFit="1" customWidth="1"/>
  </cols>
  <sheetData>
    <row r="2" spans="1:6" ht="15.75" thickBot="1" x14ac:dyDescent="0.3"/>
    <row r="3" spans="1:6" ht="15.75" thickBot="1" x14ac:dyDescent="0.3">
      <c r="C3" s="118" t="s">
        <v>81</v>
      </c>
      <c r="D3" s="119" t="s">
        <v>0</v>
      </c>
      <c r="E3" s="120" t="s">
        <v>116</v>
      </c>
      <c r="F3" s="121" t="s">
        <v>117</v>
      </c>
    </row>
    <row r="4" spans="1:6" ht="15.75" x14ac:dyDescent="0.25">
      <c r="A4" s="167">
        <v>2026</v>
      </c>
      <c r="B4" s="114" t="s">
        <v>41</v>
      </c>
      <c r="C4" s="63">
        <v>139.19999999999999</v>
      </c>
      <c r="D4" s="122">
        <f>C4-E4-F4</f>
        <v>26.099999999999994</v>
      </c>
      <c r="E4" s="123">
        <v>85.1</v>
      </c>
      <c r="F4" s="124">
        <v>28</v>
      </c>
    </row>
    <row r="5" spans="1:6" ht="15.75" x14ac:dyDescent="0.25">
      <c r="A5" s="168"/>
      <c r="B5" s="115" t="s">
        <v>45</v>
      </c>
      <c r="C5" s="117">
        <v>30.7</v>
      </c>
      <c r="D5" s="125">
        <f t="shared" ref="D5:D9" si="0">C5-E5-F5</f>
        <v>10.7</v>
      </c>
      <c r="E5" s="113">
        <v>0</v>
      </c>
      <c r="F5" s="49">
        <v>20</v>
      </c>
    </row>
    <row r="6" spans="1:6" ht="15.75" x14ac:dyDescent="0.25">
      <c r="A6" s="168"/>
      <c r="B6" s="115" t="s">
        <v>46</v>
      </c>
      <c r="C6" s="117">
        <v>59.1</v>
      </c>
      <c r="D6" s="125">
        <f t="shared" si="0"/>
        <v>2.5</v>
      </c>
      <c r="E6" s="113">
        <v>56.6</v>
      </c>
      <c r="F6" s="49">
        <v>0</v>
      </c>
    </row>
    <row r="7" spans="1:6" ht="15.75" x14ac:dyDescent="0.25">
      <c r="A7" s="168"/>
      <c r="B7" s="115" t="s">
        <v>47</v>
      </c>
      <c r="C7" s="117">
        <v>93.7</v>
      </c>
      <c r="D7" s="125">
        <f t="shared" si="0"/>
        <v>29.700000000000003</v>
      </c>
      <c r="E7" s="113">
        <v>37.5</v>
      </c>
      <c r="F7" s="49">
        <v>26.5</v>
      </c>
    </row>
    <row r="8" spans="1:6" ht="15.75" x14ac:dyDescent="0.25">
      <c r="A8" s="168"/>
      <c r="B8" s="115" t="s">
        <v>48</v>
      </c>
      <c r="C8" s="117">
        <v>77.5</v>
      </c>
      <c r="D8" s="125">
        <f t="shared" si="0"/>
        <v>29.700000000000003</v>
      </c>
      <c r="E8" s="113">
        <v>47.8</v>
      </c>
      <c r="F8" s="49">
        <v>0</v>
      </c>
    </row>
    <row r="9" spans="1:6" ht="15.75" x14ac:dyDescent="0.25">
      <c r="A9" s="168"/>
      <c r="B9" s="115" t="s">
        <v>49</v>
      </c>
      <c r="C9" s="117">
        <v>112</v>
      </c>
      <c r="D9" s="125">
        <f t="shared" si="0"/>
        <v>54.2</v>
      </c>
      <c r="E9" s="113">
        <v>44.3</v>
      </c>
      <c r="F9" s="49">
        <v>13.5</v>
      </c>
    </row>
    <row r="10" spans="1:6" ht="15.75" x14ac:dyDescent="0.25">
      <c r="A10" s="168"/>
      <c r="B10" s="115" t="s">
        <v>50</v>
      </c>
      <c r="C10" s="117"/>
      <c r="D10" s="125"/>
      <c r="E10" s="113"/>
      <c r="F10" s="49"/>
    </row>
    <row r="11" spans="1:6" ht="15.75" x14ac:dyDescent="0.25">
      <c r="A11" s="168"/>
      <c r="B11" s="115" t="s">
        <v>51</v>
      </c>
      <c r="C11" s="117">
        <v>289.89999999999998</v>
      </c>
      <c r="D11" s="125">
        <v>76</v>
      </c>
      <c r="E11" s="113">
        <f>C11-D11</f>
        <v>213.89999999999998</v>
      </c>
      <c r="F11" s="49">
        <v>0</v>
      </c>
    </row>
    <row r="12" spans="1:6" ht="15.75" x14ac:dyDescent="0.25">
      <c r="A12" s="168"/>
      <c r="B12" s="115" t="s">
        <v>52</v>
      </c>
      <c r="C12" s="117"/>
      <c r="D12" s="125"/>
      <c r="E12" s="113"/>
      <c r="F12" s="49"/>
    </row>
    <row r="13" spans="1:6" ht="15.75" x14ac:dyDescent="0.25">
      <c r="A13" s="168"/>
      <c r="B13" s="115" t="s">
        <v>53</v>
      </c>
      <c r="C13" s="117"/>
      <c r="D13" s="125"/>
      <c r="E13" s="113"/>
      <c r="F13" s="49"/>
    </row>
    <row r="14" spans="1:6" ht="15.75" x14ac:dyDescent="0.25">
      <c r="A14" s="168"/>
      <c r="B14" s="115" t="s">
        <v>54</v>
      </c>
      <c r="C14" s="117"/>
      <c r="D14" s="125"/>
      <c r="E14" s="113"/>
      <c r="F14" s="49"/>
    </row>
    <row r="15" spans="1:6" ht="16.5" thickBot="1" x14ac:dyDescent="0.3">
      <c r="A15" s="169"/>
      <c r="B15" s="116" t="s">
        <v>55</v>
      </c>
      <c r="C15" s="64"/>
      <c r="D15" s="126"/>
      <c r="E15" s="127"/>
      <c r="F15" s="128"/>
    </row>
    <row r="16" spans="1:6" x14ac:dyDescent="0.25">
      <c r="C16" s="1">
        <f>SUM(C4:C15)</f>
        <v>802.1</v>
      </c>
      <c r="D16" s="1">
        <f t="shared" ref="D16:F16" si="1">SUM(D4:D15)</f>
        <v>228.9</v>
      </c>
      <c r="E16" s="1">
        <f t="shared" si="1"/>
        <v>485.2</v>
      </c>
      <c r="F16" s="1">
        <f t="shared" si="1"/>
        <v>88</v>
      </c>
    </row>
  </sheetData>
  <mergeCells count="1">
    <mergeCell ref="A4:A1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Spese</vt:lpstr>
      <vt:lpstr>Spesa</vt:lpstr>
      <vt:lpstr>Bollette elettriche</vt:lpstr>
      <vt:lpstr>Klarna + Cofidis</vt:lpstr>
      <vt:lpstr>Libretto Postale</vt:lpstr>
      <vt:lpstr>Telepedaggio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Mirko Maddaluno</dc:creator>
  <cp:keywords/>
  <dc:description/>
  <cp:lastModifiedBy>Maddaluno Mirko</cp:lastModifiedBy>
  <cp:revision/>
  <dcterms:created xsi:type="dcterms:W3CDTF">2021-10-13T07:11:34Z</dcterms:created>
  <dcterms:modified xsi:type="dcterms:W3CDTF">2026-09-05T09:18:05Z</dcterms:modified>
  <cp:category/>
  <cp:contentStatus/>
</cp:coreProperties>
</file>